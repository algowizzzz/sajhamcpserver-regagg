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y Status" sheetId="1" state="visible" r:id="rId3"/>
    <sheet name="Test Cases" sheetId="2" state="visible" r:id="rId4"/>
    <sheet name="Summary" sheetId="3" state="visible" r:id="rId5"/>
  </sheets>
  <definedNames>
    <definedName function="false" hidden="true" localSheetId="0" name="_xlnm._FilterDatabase" vbProcedure="false">'Story Status'!$A$1:$K$103</definedName>
    <definedName function="false" hidden="true" localSheetId="1" name="_xlnm._FilterDatabase" vbProcedure="false">'Test Cases'!$A$1:$H$107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<sst xmlns="http://schemas.openxmlformats.org/spreadsheetml/2006/main" count="1888" uniqueCount="885">
  <si>
    <t xml:space="preserve">Story ID</t>
  </si>
  <si>
    <t xml:space="preserve">Epic</t>
  </si>
  <si>
    <t xml:space="preserve">Epic Name</t>
  </si>
  <si>
    <t xml:space="preserve">Sprint</t>
  </si>
  <si>
    <t xml:space="preserve">Title</t>
  </si>
  <si>
    <t xml:space="preserve">Description</t>
  </si>
  <si>
    <t xml:space="preserve">Acceptance Criteria</t>
  </si>
  <si>
    <t xml:space="preserve">Story Points</t>
  </si>
  <si>
    <t xml:space="preserve">Assigned Role</t>
  </si>
  <si>
    <t xml:space="preserve">Status</t>
  </si>
  <si>
    <t xml:space="preserve">Evidence / Notes</t>
  </si>
  <si>
    <t xml:space="preserve">REG-101</t>
  </si>
  <si>
    <t xml:space="preserve">E1</t>
  </si>
  <si>
    <t xml:space="preserve">Foundation &amp; Configuration Framework</t>
  </si>
  <si>
    <t xml:space="preserve">Sprint 1</t>
  </si>
  <si>
    <t xml:space="preserve">Project scaffolding &amp; CI test harness</t>
  </si>
  <si>
    <t xml:space="preserve">Stand up the regagg module inside the MCP server repo with an isolated pytest harness (in-memory DB + temp storage) runnable on every commit.</t>
  </si>
  <si>
    <t xml:space="preserve">Module imports cleanly inside host server; pytest suite runs offline in &lt;10s; CI-safe fixtures for DB and storage exist</t>
  </si>
  <si>
    <t xml:space="preserve">Backend Engineer</t>
  </si>
  <si>
    <t xml:space="preserve">Done</t>
  </si>
  <si>
    <t xml:space="preserve">tests/regagg/conftest.py; suite runs 92 tests in ~3s</t>
  </si>
  <si>
    <t xml:space="preserve">REG-102</t>
  </si>
  <si>
    <t xml:space="preserve">Regulator configuration schema &amp; loader</t>
  </si>
  <si>
    <t xml:space="preserve">Strict pydantic model for per-regulator YAML (connector type, sources, fetch method, rate limits, doc-type rules, backfill cutoff) with a fail-fast loader.</t>
  </si>
  <si>
    <t xml:space="preserve">Invalid/unknown fields rejected at load; connector↔sources cross-validated; filename must match declared id; loader collects all errors for reporting</t>
  </si>
  <si>
    <t xml:space="preserve">config_models.py, config_loader.py; foundation gate 30/30</t>
  </si>
  <si>
    <t xml:space="preserve">REG-103</t>
  </si>
  <si>
    <t xml:space="preserve">Author 30 regulator configs + controlled taxonomy</t>
  </si>
  <si>
    <t xml:space="preserve">One YAML per regulator across CA/US/EU-UK/APAC/INTL plus the controlled tag taxonomy and global settings files.</t>
  </si>
  <si>
    <t xml:space="preserve">30 configs parse and validate; taxonomy doc-types match code constants; every source starts verified:false</t>
  </si>
  <si>
    <t xml:space="preserve">config/regulators/*.yaml (30) + _taxonomy + _settings</t>
  </si>
  <si>
    <t xml:space="preserve">REG-104</t>
  </si>
  <si>
    <t xml:space="preserve">Corpus database schema (9 tables)</t>
  </si>
  <si>
    <t xml:space="preserve">SQLAlchemy models on the shared base for documents, versions, tags, edges, pending-edges, seen-URLs, runs, watermarks, regulators; matching hand-authored Postgres DDL.</t>
  </si>
  <si>
    <t xml:space="preserve">Tables auto-create on both SQLite and Postgres; one-current-per-doc expressible; FKs and CHECK constraints enforced; DDL file shipped</t>
  </si>
  <si>
    <t xml:space="preserve">regagg/models.py; db/scripts/postgresql/003_regagg_schema.sql</t>
  </si>
  <si>
    <t xml:space="preserve">REG-105</t>
  </si>
  <si>
    <t xml:space="preserve">Corpus storage layout over storage abstraction</t>
  </si>
  <si>
    <t xml:space="preserve">Normalized folder layout (current/archive/staging/_state per regulator) implemented over the host's local/S3 storage backend with artifact read/write helpers.</t>
  </si>
  <si>
    <t xml:space="preserve">Layout identical for all regulators; copy/delete tree operations work on local and S3 semantics; meta.json round-trips</t>
  </si>
  <si>
    <t xml:space="preserve">Full-stack Engineer</t>
  </si>
  <si>
    <t xml:space="preserve">corpus_storage.py</t>
  </si>
  <si>
    <t xml:space="preserve">REG-106</t>
  </si>
  <si>
    <t xml:space="preserve">Foundation verification gate</t>
  </si>
  <si>
    <t xml:space="preserve">A no-network CI gate proving configs parse, taxonomy is in sync, and all corpus tables register/create.</t>
  </si>
  <si>
    <t xml:space="preserve">Single command exits non-zero on any foundation defect; run in CI on every commit</t>
  </si>
  <si>
    <t xml:space="preserve">scripts/regagg_verify_foundation.py — GREEN</t>
  </si>
  <si>
    <t xml:space="preserve">REG-107</t>
  </si>
  <si>
    <t xml:space="preserve">E4</t>
  </si>
  <si>
    <t xml:space="preserve">Source Verification &amp; Regulator Onboarding</t>
  </si>
  <si>
    <t xml:space="preserve">Source verification harness</t>
  </si>
  <si>
    <t xml:space="preserve">Automated verifier for every candidate source: reachability, content-type, parseability (incl. sitemap indexes), freshness; produces a per-regulator report.</t>
  </si>
  <si>
    <t xml:space="preserve">Pass/warn/fail per source with reasons; sitemap-index recognized; report renders to markdown; harness is the only authority for verified:true</t>
  </si>
  <si>
    <t xml:space="preserve">AI Engineer</t>
  </si>
  <si>
    <t xml:space="preserve">verify_sources.py; 29/30 regulators verified live</t>
  </si>
  <si>
    <t xml:space="preserve">REG-108</t>
  </si>
  <si>
    <t xml:space="preserve">Fixture recorder &amp; per-regulator parse tests</t>
  </si>
  <si>
    <t xml:space="preserve">Record each regulator's real source payloads once and run every connector against its recording in CI.</t>
  </si>
  <si>
    <t xml:space="preserve">Fixtures recorded for all reachable regulators; parametrized test per regulator passes offline; recordings size-capped</t>
  </si>
  <si>
    <t xml:space="preserve">regagg_record_fixtures.py; tests/fixtures/ 29/30 (9.6MB)</t>
  </si>
  <si>
    <t xml:space="preserve">REG-109</t>
  </si>
  <si>
    <t xml:space="preserve">BA: source map validation &amp; regulator list sign-off</t>
  </si>
  <si>
    <t xml:space="preserve">Validate the proposed 30-regulator list and candidate sources against business priorities; obtain sign-off.</t>
  </si>
  <si>
    <t xml:space="preserve">Signed-off regulator list; discrepancies (dead feeds, blocked sites) logged as onboarding risks</t>
  </si>
  <si>
    <t xml:space="preserve">Business Analyst</t>
  </si>
  <si>
    <t xml:space="preserve">Source map verified; AMF block + 5 dead feeds logged and later remediated</t>
  </si>
  <si>
    <t xml:space="preserve">PM-S1</t>
  </si>
  <si>
    <t xml:space="preserve">PM: sprint ceremonies, RAID log, stakeholder reporting</t>
  </si>
  <si>
    <t xml:space="preserve">Recurring per-sprint PM allocation (~25%): planning, standups, review/retro, risk and dependency management.</t>
  </si>
  <si>
    <t xml:space="preserve">Ceremonies held; RAID log current; sprint report issued</t>
  </si>
  <si>
    <t xml:space="preserve">Project Manager</t>
  </si>
  <si>
    <t xml:space="preserve">Recurring</t>
  </si>
  <si>
    <t xml:space="preserve">REG-201</t>
  </si>
  <si>
    <t xml:space="preserve">E2</t>
  </si>
  <si>
    <t xml:space="preserve">Versioning &amp; Governed Storage</t>
  </si>
  <si>
    <t xml:space="preserve">Sprint 2</t>
  </si>
  <si>
    <t xml:space="preserve">Atomic versioning protocol (override→archive)</t>
  </si>
  <si>
    <t xml:space="preserve">Six-step crash-safe protocol: stage new version, record intent, copy current to timestamped archive, promote staging, finalize document row.</t>
  </si>
  <si>
    <t xml:space="preserve">New doc creates v1; changed content archives prior version and increments version; unchanged content is a no-op; document identity stable across revisions</t>
  </si>
  <si>
    <t xml:space="preserve">versioning.py; test_versioning.py</t>
  </si>
  <si>
    <t xml:space="preserve">REG-202</t>
  </si>
  <si>
    <t xml:space="preserve">Crash-recovery reconciliation &amp; invariant audit</t>
  </si>
  <si>
    <t xml:space="preserve">Deterministic repair job that rolls half-applied updates forward, cleans orphan staging, and audits invariants (exactly one current per doc; archive append-only).</t>
  </si>
  <si>
    <t xml:space="preserve">After any induced crash, reconcile restores a clean state with zero committed-data loss; violations are reported, never silently fixed twice</t>
  </si>
  <si>
    <t xml:space="preserve">versioning.reconcile(); /integrity endpoint OK on 5,969 docs</t>
  </si>
  <si>
    <t xml:space="preserve">REG-203</t>
  </si>
  <si>
    <t xml:space="preserve">Chaos test suite for the versioning path</t>
  </si>
  <si>
    <t xml:space="preserve">Automated tests that kill the pipeline after every protocol step and assert full recovery.</t>
  </si>
  <si>
    <t xml:space="preserve">Crash injected at each of steps 1–5; invariants hold post-reconcile in all cases; reconcile idempotent</t>
  </si>
  <si>
    <t xml:space="preserve">test_versioning.py chaos parametrization (10 tests)</t>
  </si>
  <si>
    <t xml:space="preserve">REG-204</t>
  </si>
  <si>
    <t xml:space="preserve">E3</t>
  </si>
  <si>
    <t xml:space="preserve">Collection Engine</t>
  </si>
  <si>
    <t xml:space="preserve">Sitemap-diff connector</t>
  </si>
  <si>
    <t xml:space="preserve">Detect new/changed URLs from sitemap.xml (incl. index recursion) plus listing pages, with lastmod fast-path skipping and include/exclude filters.</t>
  </si>
  <si>
    <t xml:space="preserve">Sitemap+listing union deduplicated; known URLs with unchanged lastmod skipped; doc-type mapped from URL rules</t>
  </si>
  <si>
    <t xml:space="preserve">connectors.SitemapDiffConnector; fixture + live tests</t>
  </si>
  <si>
    <t xml:space="preserve">REG-205</t>
  </si>
  <si>
    <t xml:space="preserve">RSS/Atom connector</t>
  </si>
  <si>
    <t xml:space="preserve">Poll 1..n feeds per regulator with GUID→URL dedup, malformed-feed isolation, and backfill-cutoff filtering.</t>
  </si>
  <si>
    <t xml:space="preserve">Duplicate GUIDs collapse; items older than cutoff ignored; one bad feed never aborts others</t>
  </si>
  <si>
    <t xml:space="preserve">connectors.RssConnector; cutoff regression test</t>
  </si>
  <si>
    <t xml:space="preserve">REG-206</t>
  </si>
  <si>
    <t xml:space="preserve">API connector &amp; Federal Register adapter</t>
  </si>
  <si>
    <t xml:space="preserve">Provider-adapter API connector; Federal Register: agency filters, explicit field selection, pagination to cutoff, sanctioned full-text URL, abstract capture.</t>
  </si>
  <si>
    <t xml:space="preserve">Paginates until backfill cutoff; emits reference numbers for dedup; requests raw_text_url+abstract explicitly (not in default fields)</t>
  </si>
  <si>
    <t xml:space="preserve">connectors.ApiConnector; build_api_url; 500 docs/run</t>
  </si>
  <si>
    <t xml:space="preserve">REG-207</t>
  </si>
  <si>
    <t xml:space="preserve">Fetch &amp; normalization layer</t>
  </si>
  <si>
    <t xml:space="preserve">Polite fetcher (UA, per-domain rate limit) converting HTML→markdown (boilerplate stripped) and PDF→markdown, detecting PDFs by magic bytes, flagging scanned files.</t>
  </si>
  <si>
    <t xml:space="preserve">HTML preserves headings/tables/links; .pdf URLs serving HTML are treated as HTML (magic-byte truth); scanned PDFs flagged ocr:true; content sha256 computed</t>
  </si>
  <si>
    <t xml:space="preserve">fetch.py; test_fetch.py incl. block-page regression</t>
  </si>
  <si>
    <t xml:space="preserve">REG-208</t>
  </si>
  <si>
    <t xml:space="preserve">BA: provenance &amp; audit acceptance walkthrough</t>
  </si>
  <si>
    <t xml:space="preserve">Define and verify the governance chain a compliance reviewer needs: source URL, final URL, hash, timestamps, run attribution, raw original, version lineage.</t>
  </si>
  <si>
    <t xml:space="preserve">Walkthrough from rendered doc back to original bytes and run manifest demonstrated; gaps (post-redirect URL) closed</t>
  </si>
  <si>
    <t xml:space="preserve">Provenance tab; meta.json fields; 0 docs missing source_url</t>
  </si>
  <si>
    <t xml:space="preserve">PM-S2</t>
  </si>
  <si>
    <t xml:space="preserve">E5</t>
  </si>
  <si>
    <t xml:space="preserve">Orchestration, Operations &amp; Data Quality</t>
  </si>
  <si>
    <t xml:space="preserve">PM: sprint ceremonies &amp; reporting</t>
  </si>
  <si>
    <t xml:space="preserve">Recurring PM allocation.</t>
  </si>
  <si>
    <t xml:space="preserve">As S1</t>
  </si>
  <si>
    <t xml:space="preserve">REG-301</t>
  </si>
  <si>
    <t xml:space="preserve">Sprint 3</t>
  </si>
  <si>
    <t xml:space="preserve">End-to-end ingestion pipeline</t>
  </si>
  <si>
    <t xml:space="preserve">Wire detect→fetch→version→enrich→record per regulator: run manifests, seen-URL registry, per-URL error isolation, idempotent reruns.</t>
  </si>
  <si>
    <t xml:space="preserve">One bad document never fails a run; rerun same day is a no-op for unchanged content; manifest lists every URL with outcome; run row persisted</t>
  </si>
  <si>
    <t xml:space="preserve">pipeline.run_regulator; OSFI e2e test incl. forced update→archive</t>
  </si>
  <si>
    <t xml:space="preserve">REG-302</t>
  </si>
  <si>
    <t xml:space="preserve">Policy-PDF harvesting</t>
  </si>
  <si>
    <t xml:space="preserve">Extract same-domain PDF links from ingested HTML pages and ingest them as first-class policy documents (source_kind=policy_pdf), with per-page and per-run caps.</t>
  </si>
  <si>
    <t xml:space="preserve">PDFs enter the same versioning path; source_kind recorded; caps prevent runaway; 3/page, 40/run defaults</t>
  </si>
  <si>
    <t xml:space="preserve">772 policy PDFs in corpus; harvest test</t>
  </si>
  <si>
    <t xml:space="preserve">REG-303</t>
  </si>
  <si>
    <t xml:space="preserve">Meta-source deduplication</t>
  </si>
  <si>
    <t xml:space="preserve">When the meta-source (Federal Register) lists a document an agency feed already provided, keep the agency copy canonical and skip the duplicate by reference number.</t>
  </si>
  <si>
    <t xml:space="preserve">Duplicate skipped and counted (deduped metric); no double-counting across fedreg/agency</t>
  </si>
  <si>
    <t xml:space="preserve">meta_source flag; dedup test</t>
  </si>
  <si>
    <t xml:space="preserve">REG-304</t>
  </si>
  <si>
    <t xml:space="preserve">Fleet orchestrator</t>
  </si>
  <si>
    <t xml:space="preserve">Fan out one isolated run per active regulator; support rerun of all/subset/one for a chosen date; expose reconcile as an operation.</t>
  </si>
  <si>
    <t xml:space="preserve">One regulator's hard failure never blocks others; rerun records operator identity; reruns are idempotent</t>
  </si>
  <si>
    <t xml:space="preserve">orchestrator.py; isolation + rerun tests</t>
  </si>
  <si>
    <t xml:space="preserve">REG-305</t>
  </si>
  <si>
    <t xml:space="preserve">Run status semantics &amp; live progress</t>
  </si>
  <si>
    <t xml:space="preserve">Humane statuses (failed only when nothing landed or &gt;20% errored) plus mid-run counter flushes so the UI can show live progress.</t>
  </si>
  <si>
    <t xml:space="preserve">Partial-error runs show success + error count; counters update at least every 10 documents during a run</t>
  </si>
  <si>
    <t xml:space="preserve">events.finalize(); _flush_run; Today's-delta banner</t>
  </si>
  <si>
    <t xml:space="preserve">REG-306</t>
  </si>
  <si>
    <t xml:space="preserve">Pilot regulators end-to-end (OSFI, FRB, FedReg)</t>
  </si>
  <si>
    <t xml:space="preserve">Prove all three connector types live against the pilot trio, including a forced content change correctly archiving v1.</t>
  </si>
  <si>
    <t xml:space="preserve">All pilots ingest live; update archives prior version; fixtures recorded</t>
  </si>
  <si>
    <t xml:space="preserve">Live runs; OSFI 833→1,196 docs</t>
  </si>
  <si>
    <t xml:space="preserve">REG-307</t>
  </si>
  <si>
    <t xml:space="preserve">Onboarding wave 1 — fifteen fast regulators</t>
  </si>
  <si>
    <t xml:space="preserve">Verify sources and run first live ingestion for the non-giant regulators across all regions.</t>
  </si>
  <si>
    <t xml:space="preserve">Each has ≥1 verified source and a passing live run; failures triaged with per-URL evidence</t>
  </si>
  <si>
    <t xml:space="preserve">18 regs at 100% of advertised coverage</t>
  </si>
  <si>
    <t xml:space="preserve">REG-308</t>
  </si>
  <si>
    <t xml:space="preserve">Crawl hardening</t>
  </si>
  <si>
    <t xml:space="preserve">Protect the fleet from pathological sources: sitemap byte cap, sitemap-index child cap, giants-last ordering with per-giant caps, tuned timeouts.</t>
  </si>
  <si>
    <t xml:space="preserve">A monster sitemap cannot hang a run (logged truncation); giants capped per run; hardening covered by tests</t>
  </si>
  <si>
    <t xml:space="preserve">8MB/30-child caps after HKMA 3.8MB hang</t>
  </si>
  <si>
    <t xml:space="preserve">REG-309</t>
  </si>
  <si>
    <t xml:space="preserve">Bot-block guard &amp; sanctioned fallbacks</t>
  </si>
  <si>
    <t xml:space="preserve">Detect anti-scraping block pages and fall back to official API abstract, else an honest metadata stub — provenance labels content_source; never store block-page garbage; never evade.</t>
  </si>
  <si>
    <t xml:space="preserve">Block page never stored as content; fallback chain full-text→abstract→stub; content_source recorded; zero recurring error storms</t>
  </si>
  <si>
    <t xml:space="preserve">FedReg: 64 abstracts + 436 stubs, 0 errors</t>
  </si>
  <si>
    <t xml:space="preserve">REG-310</t>
  </si>
  <si>
    <t xml:space="preserve">E7</t>
  </si>
  <si>
    <t xml:space="preserve">Analyst &amp; Operator Dashboard</t>
  </si>
  <si>
    <t xml:space="preserve">BA: dashboard information architecture &amp; status vocabulary</t>
  </si>
  <si>
    <t xml:space="preserve">Define analyst/operator journeys, coverage semantics (fresh/stale/attention), and plain-language status labels for the UI.</t>
  </si>
  <si>
    <t xml:space="preserve">IA for 5 pages agreed; status color/meaning table documented</t>
  </si>
  <si>
    <t xml:space="preserve">Mockups reviewed; humane-status change driven by PO feedback</t>
  </si>
  <si>
    <t xml:space="preserve">PM-S3</t>
  </si>
  <si>
    <t xml:space="preserve">REG-401</t>
  </si>
  <si>
    <t xml:space="preserve">Sprint 4</t>
  </si>
  <si>
    <t xml:space="preserve">Dashboard data API</t>
  </si>
  <si>
    <t xml:space="preserve">Read endpoints backing every page: coverage tree with roll-ups, corpus browse with facets, changes feed, run overview with daily delta, version diff, inventory, jailed file explorer.</t>
  </si>
  <si>
    <t xml:space="preserve">All endpoints stateless and paginated where relevant; institution filters applied in SQL before LIMIT; fs endpoints jailed to corpus root</t>
  </si>
  <si>
    <t xml:space="preserve">queries_ui.py + admin.py; endpoint tests incl. traversal + filter-order regressions</t>
  </si>
  <si>
    <t xml:space="preserve">REG-402</t>
  </si>
  <si>
    <t xml:space="preserve">Coverage page</t>
  </si>
  <si>
    <t xml:space="preserve">Region→institution expandable tree: web/PDF counts, new-in-window, last run, freshness pill, coverage-% vs source-advertised, per-row Run trigger.</t>
  </si>
  <si>
    <t xml:space="preserve">Coverage % shown per institution; staleness flagged per config threshold; Run button triggers a real audited run</t>
  </si>
  <si>
    <t xml:space="preserve">/ui Coverage; auto-refresh during active runs</t>
  </si>
  <si>
    <t xml:space="preserve">REG-403</t>
  </si>
  <si>
    <t xml:space="preserve">Corpus browser page</t>
  </si>
  <si>
    <t xml:space="preserve">Dedicated deep-linkable page: continent/institution/file-type/doc-type/status/date/search filters with live facet counts, title+reference+excerpt rows, source links, Published+Added columns, pagination.</t>
  </si>
  <si>
    <t xml:space="preserve">All filters server-side; facet counts reflect scope; row opens document drawer; 50/page with prev/next</t>
  </si>
  <si>
    <t xml:space="preserve">#corpus; excerpt layer exposed the FedReg block issue</t>
  </si>
  <si>
    <t xml:space="preserve">REG-404</t>
  </si>
  <si>
    <t xml:space="preserve">Collection-runs page</t>
  </si>
  <si>
    <t xml:space="preserve">Operations view: today's delta banner with pass-rate headline and failing-run digest, live active-run progress (5s polling), recent runs, daily delta history.</t>
  </si>
  <si>
    <t xml:space="preserve">Pass-rate = fetched/(fetched+errors); live counters tick during runs; every run links to its manifest</t>
  </si>
  <si>
    <t xml:space="preserve">#run; verified against live crawls</t>
  </si>
  <si>
    <t xml:space="preserve">REG-405</t>
  </si>
  <si>
    <t xml:space="preserve">E6</t>
  </si>
  <si>
    <t xml:space="preserve">Deterministic Enrichment &amp; Knowledge Graph</t>
  </si>
  <si>
    <t xml:space="preserve">Reference-number grammar &amp; citation mining</t>
  </si>
  <si>
    <t xml:space="preserve">Regex grammars for regulator identifiers (OSFI B/E-series, CAR/LAR chapters, SR letters, OCC bulletins, NI, APS, PS/CP/SS, RTS/ITS, BCBS…) extracting a document's own reference and its citations, with sentence-scoped supersede detection.</t>
  </si>
  <si>
    <t xml:space="preserve">Own-reference extracted from titles; citations classified supersedes vs references without cross-sentence bleed; adding a grammar is a table entry</t>
  </si>
  <si>
    <t xml:space="preserve">rules.py; pattern + sentence-scope tests</t>
  </si>
  <si>
    <t xml:space="preserve">REG-406</t>
  </si>
  <si>
    <t xml:space="preserve">Cross-reference knowledge graph</t>
  </si>
  <si>
    <t xml:space="preserve">Resolve citations against the corpus into typed edges with confidence; supersedes edges flip target status; unresolved citations persist and retry nightly.</t>
  </si>
  <si>
    <t xml:space="preserve">Edges deduplicated; supersedes updates target to superseded; pending edges resolve when the target arrives</t>
  </si>
  <si>
    <t xml:space="preserve">176 edges + 756 pending on live corpus</t>
  </si>
  <si>
    <t xml:space="preserve">REG-407</t>
  </si>
  <si>
    <t xml:space="preserve">Expected-inventory reconciliation (completeness proof)</t>
  </si>
  <si>
    <t xml:space="preserve">Per-regulator expected inventories (seeded: OSFI CAR/LAR/B/E series) reconciled against the corpus by reference then title; per-series present/missing report and API.</t>
  </si>
  <si>
    <t xml:space="preserve">Answers 'do we hold every chapter?' with named gaps; OSFI reconciles 30/30 after gap-fill</t>
  </si>
  <si>
    <t xml:space="preserve">/inventory/osfi = 30/30; _inventories/osfi.yaml</t>
  </si>
  <si>
    <t xml:space="preserve">REG-408</t>
  </si>
  <si>
    <t xml:space="preserve">Onboarding wave 2 — giants &amp; source remediation</t>
  </si>
  <si>
    <t xml:space="preserve">Onboard the large/broken regulators: capped depth-slicing for giants; fix dead feeds (FDIC), connector switches (HKMA + 5 RSS-dead regs → listing/sitemap), sitemap-index support (CSA).</t>
  </si>
  <si>
    <t xml:space="preserve">29/30 regulators verified and collecting; each fix re-verified by the harness; AMF escalated (not evaded)</t>
  </si>
  <si>
    <t xml:space="preserve">eiopa/finra/iosco/mas/osc/hkma/fdic/csa all remediated</t>
  </si>
  <si>
    <t xml:space="preserve">REG-409</t>
  </si>
  <si>
    <t xml:space="preserve">Targeted gap-fill runs</t>
  </si>
  <si>
    <t xml:space="preserve">URL-regex-scoped ingest (e.g. /en/guidance) so specific sections can be completed without full-site crawls; used to complete OSFI's guideline chapters.</t>
  </si>
  <si>
    <t xml:space="preserve">Scoped run ingests only matching URLs; OSFI guidance section filled (363 docs) driving inventory to complete</t>
  </si>
  <si>
    <t xml:space="preserve">--include flag; OSFI 12/30→30/30</t>
  </si>
  <si>
    <t xml:space="preserve">REG-410</t>
  </si>
  <si>
    <t xml:space="preserve">BA: UAT round 1 (coverage/corpus/runs)</t>
  </si>
  <si>
    <t xml:space="preserve">Structured UAT of the first three pages against analyst/operator journeys; log and triage defects.</t>
  </si>
  <si>
    <t xml:space="preserve">UAT script executed; defects logged with severity; blocking defects fixed before sprint close</t>
  </si>
  <si>
    <t xml:space="preserve">Partial</t>
  </si>
  <si>
    <t xml:space="preserve">Continuous PO review happened in-build (several defects caught: filters, statuses); formal scripted UAT pending</t>
  </si>
  <si>
    <t xml:space="preserve">PM-S4</t>
  </si>
  <si>
    <t xml:space="preserve">REG-501</t>
  </si>
  <si>
    <t xml:space="preserve">Sprint 5</t>
  </si>
  <si>
    <t xml:space="preserve">Changes / impact feed</t>
  </si>
  <si>
    <t xml:space="preserve">Analyst delta feed: NEW/REVISED/SUPERSEDED/DEADLINE cards grouped by day, filtered by region, institution, file type, change-type chips, and explicit date range — all server-side.</t>
  </si>
  <si>
    <t xml:space="preserve">Filters share coverage-tree dimensions; counts remain pre-kind-filter for tile toggles; feed matches DB deltas exactly</t>
  </si>
  <si>
    <t xml:space="preserve">#chg; filter-before-LIMIT regression test</t>
  </si>
  <si>
    <t xml:space="preserve">REG-502</t>
  </si>
  <si>
    <t xml:space="preserve">Version diff viewer</t>
  </si>
  <si>
    <t xml:space="preserve">One-click unified diff between a document's current and previous archived version with added/removed counts, from the Changes feed and drawer.</t>
  </si>
  <si>
    <t xml:space="preserve">Diff renders color-coded; single-version docs report 'no diff' cleanly</t>
  </si>
  <si>
    <t xml:space="preserve">/diff endpoint + viewer; real v1→v2 diffs verified</t>
  </si>
  <si>
    <t xml:space="preserve">REG-503</t>
  </si>
  <si>
    <t xml:space="preserve">Rich document drawer</t>
  </si>
  <si>
    <t xml:space="preserve">Document view with tabs: rendered markdown (self-contained md→html, no CDN), summary, provenance rail (all governance fields incl. final URL/fetch method/content source), raw text.</t>
  </si>
  <si>
    <t xml:space="preserve">Headings/lists/tables/links render; provenance shows source URL clickable; raw preserved verbatim</t>
  </si>
  <si>
    <t xml:space="preserve">md2html engine; verified on live BoE paper</t>
  </si>
  <si>
    <t xml:space="preserve">REG-504</t>
  </si>
  <si>
    <t xml:space="preserve">Corpus file Explorer</t>
  </si>
  <si>
    <t xml:space="preserve">Nested file-tree page mirroring disk (regulator→current|archive→doc_type→year→doc→artifacts) with lazy loading; text files open in drawer, originals download; API jailed to corpus root.</t>
  </si>
  <si>
    <t xml:space="preserve">Path traversal rejected (400); item counts and sizes shown; md renders rich</t>
  </si>
  <si>
    <t xml:space="preserve">#exp; jail tests</t>
  </si>
  <si>
    <t xml:space="preserve">REG-505</t>
  </si>
  <si>
    <t xml:space="preserve">Manual interjection &amp; upload lane</t>
  </si>
  <si>
    <t xml:space="preserve">Human override: add/update a document by URL fetch, pasted corrected markdown, or uploaded PDF/HTML — via UI modal, API, and CLI — through the identical versioning/provenance path, tagged manual and audited.</t>
  </si>
  <si>
    <t xml:space="preserve">Update archives prior version; operator identity recorded; run row visible; future crawls recognize the URL (no duplicates); 50MB upload cap</t>
  </si>
  <si>
    <t xml:space="preserve">manual.py + modal + /documents(/upload) + CLI; v1→v2 test</t>
  </si>
  <si>
    <t xml:space="preserve">REG-506</t>
  </si>
  <si>
    <t xml:space="preserve">E8</t>
  </si>
  <si>
    <t xml:space="preserve">MCP Tool Surface &amp; Security</t>
  </si>
  <si>
    <t xml:space="preserve">Content-plane MCP tools</t>
  </si>
  <si>
    <t xml:space="preserve">reg_search (filter-then-rank), reg_read (summary|full|meta|historical version), reg_tags, reg_whats_new, reg_graph — stateless, registered via config-driven dynamic discovery.</t>
  </si>
  <si>
    <t xml:space="preserve">All five discoverable and callable over MCP; filters applied before ranking; graph traversal cycle-safe depth≤3</t>
  </si>
  <si>
    <t xml:space="preserve">reg_tools.py + generated configs; tool tests</t>
  </si>
  <si>
    <t xml:space="preserve">REG-507</t>
  </si>
  <si>
    <t xml:space="preserve">Index-plane MCP tools</t>
  </si>
  <si>
    <t xml:space="preserve">reg_coverage, reg_browse (metadata-only), reg_changes, reg_diff, reg_inventory, reg_runs_status, reg_trigger_run (mutating, guarded) — the answers content-RAG cannot give.</t>
  </si>
  <si>
    <t xml:space="preserve">All seven callable over MCP with the same filters as the UI; trigger refuses concurrent runs and records operator</t>
  </si>
  <si>
    <t xml:space="preserve">Verified over the wire via agent key</t>
  </si>
  <si>
    <t xml:space="preserve">REG-508</t>
  </si>
  <si>
    <t xml:space="preserve">MCP security &amp; key lifecycle</t>
  </si>
  <si>
    <t xml:space="preserve">Authentication required for tools/call (discovery stays open); per-key tool allowlists enforced at the transport; scoped agent key issued, rotated, and stored DB-only (never committed).</t>
  </si>
  <si>
    <t xml:space="preserve">No-key and dead-key calls rejected; out-of-scope tool denied; in-scope tool works — four-way matrix verified; rotation procedure documented</t>
  </si>
  <si>
    <t xml:space="preserve">api_routes enforcement; live verification matrix; key rotated pre-publication</t>
  </si>
  <si>
    <t xml:space="preserve">REG-509</t>
  </si>
  <si>
    <t xml:space="preserve">BA: UAT round 2 (changes/diff/explorer/manual)</t>
  </si>
  <si>
    <t xml:space="preserve">Structured UAT of the remaining pages and the manual lane.</t>
  </si>
  <si>
    <t xml:space="preserve">UAT script executed; defects triaged; sign-off recorded</t>
  </si>
  <si>
    <t xml:space="preserve">In-build PO validation only; formal pass pending</t>
  </si>
  <si>
    <t xml:space="preserve">PM-S5</t>
  </si>
  <si>
    <t xml:space="preserve">REG-601</t>
  </si>
  <si>
    <t xml:space="preserve">E9</t>
  </si>
  <si>
    <t xml:space="preserve">Agentic Integration</t>
  </si>
  <si>
    <t xml:space="preserve">Sprint 6</t>
  </si>
  <si>
    <t xml:space="preserve">Markdown projection for the agent stack</t>
  </si>
  <si>
    <t xml:space="preserve">Maintain the corpus in the agent tools' consumption layout — data/markdown/{web|policy}/{regulator}/{doc_type}/{doc_id}.md with YAML frontmatter — via write-through on every ingest plus nightly resync self-heal.</t>
  </si>
  <si>
    <t xml:space="preserve">Every current document has exactly one projection file; frontmatter carries citation context; resync idempotent; history stays in canonical store</t>
  </si>
  <si>
    <t xml:space="preserve">projection.py; 5,957 files (269MB); write-through test</t>
  </si>
  <si>
    <t xml:space="preserve">REG-602</t>
  </si>
  <si>
    <t xml:space="preserve">Agent-platform MCP connectivity</t>
  </si>
  <si>
    <t xml:space="preserve">Connect the existing agent stack to the MCP endpoint with the scoped key; verify end-to-end tool calls and denial of out-of-scope tools.</t>
  </si>
  <si>
    <t xml:space="preserve">initialize/tools list/call verified from client side; connection details documented for the platform's custom-MCP dialog</t>
  </si>
  <si>
    <t xml:space="preserve">Verified (usage counter); key details delivered</t>
  </si>
  <si>
    <t xml:space="preserve">REG-603</t>
  </si>
  <si>
    <t xml:space="preserve">Chatbot enablement guide</t>
  </si>
  <si>
    <t xml:space="preserve">Author the integration guide: connection block, agent prompt pattern (narrow→read cheap→relate→freshness), non-negotiable citation rule, worked examples, honest limitations, go-live eval checklist.</t>
  </si>
  <si>
    <t xml:space="preserve">Guide sufficient for the chatbot team to integrate without our involvement</t>
  </si>
  <si>
    <t xml:space="preserve">docs/regagg/CHATBOT_GUIDE.md</t>
  </si>
  <si>
    <t xml:space="preserve">REG-604</t>
  </si>
  <si>
    <t xml:space="preserve">Agent skills authoring</t>
  </si>
  <si>
    <t xml:space="preserve">Author skill definitions on the agent platform mapping to the tools: Daily Regulatory Briefing (reg_changes), Impact Analysis (reg_diff+reg_graph), Completeness Audit (reg_coverage+reg_inventory).</t>
  </si>
  <si>
    <t xml:space="preserve">Three skills live on the platform; each produces correct, cited output on test prompts</t>
  </si>
  <si>
    <t xml:space="preserve">Not Started</t>
  </si>
  <si>
    <t xml:space="preserve">Owner's agent platform; guide + tool surface ready</t>
  </si>
  <si>
    <t xml:space="preserve">REG-605</t>
  </si>
  <si>
    <t xml:space="preserve">Agent citation &amp; accuracy evaluation</t>
  </si>
  <si>
    <t xml:space="preserve">Run the 20-question eval across ≥8 regulators: every claim cited (regulator+reference+date+URL), superseded docs flagged with successor, out-of-corpus questions declined.</t>
  </si>
  <si>
    <t xml:space="preserve">Eval sheet completed with pass/fail per question; failures fed back into prompt/tool fixes</t>
  </si>
  <si>
    <t xml:space="preserve">Checklist ready in CHATBOT_GUIDE; requires live agent stack</t>
  </si>
  <si>
    <t xml:space="preserve">REG-606</t>
  </si>
  <si>
    <t xml:space="preserve">Daily delta poller &amp; weekly deep run</t>
  </si>
  <si>
    <t xml:space="preserve">Single scheduler entrypoint: fleet delta ingest (giants depth-sliced), pending-edge resolution, integrity reconcile, projection resync, one-line delta summary; weekly --deep raises caps.</t>
  </si>
  <si>
    <t xml:space="preserve">One cron line each for daily/weekly; exit code signals invariant violations; every run visible in UI</t>
  </si>
  <si>
    <t xml:space="preserve">regagg_daily_poll.py; cron lines documented</t>
  </si>
  <si>
    <t xml:space="preserve">REG-607</t>
  </si>
  <si>
    <t xml:space="preserve">Backup &amp; restore</t>
  </si>
  <si>
    <t xml:space="preserve">Nightly consistent SQLite snapshot + hardlink-incremental corpus backup with 7-day retention; restore verified.</t>
  </si>
  <si>
    <t xml:space="preserve">Backup runs while server/crawls active; restore drill opens snapshot with full document count; retention enforced portably</t>
  </si>
  <si>
    <t xml:space="preserve">regagg_backup.sh; 2.0GB verified restore-check</t>
  </si>
  <si>
    <t xml:space="preserve">REG-608</t>
  </si>
  <si>
    <t xml:space="preserve">UX polish round</t>
  </si>
  <si>
    <t xml:space="preserve">Excerpt/description line + source links + Added date in corpus; PDF filename titles (incl. backfill); add-doc discoverability in top bar; rich-render defaults.</t>
  </si>
  <si>
    <t xml:space="preserve">No raw URLs as titles; every row shows an honest excerpt where text exists; date column always populated</t>
  </si>
  <si>
    <t xml:space="preserve">729 titles backfilled; excerpts live</t>
  </si>
  <si>
    <t xml:space="preserve">REG-609</t>
  </si>
  <si>
    <t xml:space="preserve">E10</t>
  </si>
  <si>
    <t xml:space="preserve">Future Enhancements (Backlog)</t>
  </si>
  <si>
    <t xml:space="preserve">Successor knowledge base</t>
  </si>
  <si>
    <t xml:space="preserve">Author the handover KB: start-here mental model, architecture/flows/schema, UI+tools reference, testing/ops runbook, known issues + war stories + roadmap.</t>
  </si>
  <si>
    <t xml:space="preserve">A new engineer/AI agent can operate and extend the system from the KB alone</t>
  </si>
  <si>
    <t xml:space="preserve">docs/regagg/kb/ (5 docs)</t>
  </si>
  <si>
    <t xml:space="preserve">REG-610</t>
  </si>
  <si>
    <t xml:space="preserve">BA: final UAT &amp; product-owner acceptance</t>
  </si>
  <si>
    <t xml:space="preserve">End-to-end acceptance against the epic-level outcomes; PO sign-off for go-live.</t>
  </si>
  <si>
    <t xml:space="preserve">Acceptance record signed; open items dispositioned to backlog</t>
  </si>
  <si>
    <t xml:space="preserve">Pending PO session</t>
  </si>
  <si>
    <t xml:space="preserve">PM-S6</t>
  </si>
  <si>
    <t xml:space="preserve">PM: go/no-go readiness review &amp; handover</t>
  </si>
  <si>
    <t xml:space="preserve">Deployment readiness review, handover of runbooks/KB, closure report.</t>
  </si>
  <si>
    <t xml:space="preserve">Readiness review held; handover acknowledged</t>
  </si>
  <si>
    <t xml:space="preserve">Pending</t>
  </si>
  <si>
    <t xml:space="preserve">REG-801</t>
  </si>
  <si>
    <t xml:space="preserve">E11</t>
  </si>
  <si>
    <t xml:space="preserve">Cloud Migration &amp; Data Platform (AWS)</t>
  </si>
  <si>
    <t xml:space="preserve">Sprint 7</t>
  </si>
  <si>
    <t xml:space="preserve">Infrastructure-as-code baseline for the aggregator</t>
  </si>
  <si>
    <t xml:space="preserve">Codify the aggregator's AWS footprint (RDS access, S3 buckets/prefixes, ECR repo, ECS task definitions, EventBridge rules, IAM roles) as reviewable IaC in the platform's existing tooling, with per-environment parameters.</t>
  </si>
  <si>
    <t xml:space="preserve">dev/staging/prod stacks deploy from code with no console steps; IAM follows least privilege; teardown/redeploy reproduces an identical environment; peer-reviewed and merged</t>
  </si>
  <si>
    <t xml:space="preserve">Requires platform/DevOps skills — see capacity assumption</t>
  </si>
  <si>
    <t xml:space="preserve">REG-802</t>
  </si>
  <si>
    <t xml:space="preserve">PostgreSQL migration &amp; schema deployment</t>
  </si>
  <si>
    <t xml:space="preserve">Deploy the reg_* schema into the existing production PostgreSQL (namespaced, no collisions with platform tables) and migrate the SQLite corpus index with full fidelity; establish forward migration tooling.</t>
  </si>
  <si>
    <t xml:space="preserve">All 9 reg_* tables created via versioned migration; row counts and invariants match source exactly; one-current-per-doc enforced by partial unique index; rollback path documented; full test suite green against Postgres</t>
  </si>
  <si>
    <t xml:space="preserve">DDL shipped (003_regagg_schema.sql); reg_ prefix already prevents collisions</t>
  </si>
  <si>
    <t xml:space="preserve">REG-803</t>
  </si>
  <si>
    <t xml:space="preserve">S3 storage cutover for corpus and markdown projection</t>
  </si>
  <si>
    <t xml:space="preserve">Switch the storage backend from local disk to S3 for the canonical corpus (raw/meta/versions/archive) and the agent-facing markdown projection, preserving the exact key layout the agent tools consume.</t>
  </si>
  <si>
    <t xml:space="preserve">Existing ~6GB corpus migrated with checksum verification; ingestion writes to S3; projection paths unchanged for agent tools; archive immutability enforced via bucket policy/versioning; no local-disk dependency remains</t>
  </si>
  <si>
    <t xml:space="preserve">Storage abstraction already supports s3 backend</t>
  </si>
  <si>
    <t xml:space="preserve">REG-804</t>
  </si>
  <si>
    <t xml:space="preserve">Secrets and environment configuration management</t>
  </si>
  <si>
    <t xml:space="preserve">Move API keys, database credentials and per-environment settings into the platform's secrets manager/parameter store; remove file-based keys; document rotation.</t>
  </si>
  <si>
    <t xml:space="preserve">No credential exists in the repo or on disk; application resolves secrets at runtime per environment; key rotation performed without redeploy; rotation SOP documented</t>
  </si>
  <si>
    <t xml:space="preserve">Local build already rotated keys to DB-only</t>
  </si>
  <si>
    <t xml:space="preserve">REG-805</t>
  </si>
  <si>
    <t xml:space="preserve">Containerise collection workers</t>
  </si>
  <si>
    <t xml:space="preserve">Package the collection pipeline as a container image (pinned dependencies, non-root, health check) published to the registry, runnable as a one-shot task.</t>
  </si>
  <si>
    <t xml:space="preserve">Image builds reproducibly in CI; a task run performs a full regulator ingest against RDS+S3; image scanned for vulnerabilities with no criticals</t>
  </si>
  <si>
    <t xml:space="preserve">REG-806</t>
  </si>
  <si>
    <t xml:space="preserve">Sprint 8</t>
  </si>
  <si>
    <t xml:space="preserve">Cloud-scheduled daily and weekly ingestion</t>
  </si>
  <si>
    <t xml:space="preserve">Replace host cron with cloud scheduling: daily delta run and weekly deep run as scheduled container tasks, with concurrency guard, timeout, retry and failure notification.</t>
  </si>
  <si>
    <t xml:space="preserve">Daily/weekly schedules fire reliably; overlapping runs prevented; failures raise an alert; run history visible in the existing dashboard exactly as today</t>
  </si>
  <si>
    <t xml:space="preserve">Poller entrypoint + single-run guard already built</t>
  </si>
  <si>
    <t xml:space="preserve">REG-807</t>
  </si>
  <si>
    <t xml:space="preserve">Cloud backup, retention and restore drill</t>
  </si>
  <si>
    <t xml:space="preserve">Adopt platform-native durability: RDS automated backups with point-in-time recovery, S3 versioning plus lifecycle tiering for archive, and a documented restore procedure.</t>
  </si>
  <si>
    <t xml:space="preserve">PITR verified by restoring to a scratch instance; S3 versioning protects against accidental deletion; lifecycle policy moves cold archive to cheaper tier; restore drill timed and documented against RPO/RTO targets</t>
  </si>
  <si>
    <t xml:space="preserve">Local backup script is the interim control</t>
  </si>
  <si>
    <t xml:space="preserve">REG-808</t>
  </si>
  <si>
    <t xml:space="preserve">BA: data classification, residency and retention sign-off</t>
  </si>
  <si>
    <t xml:space="preserve">Confirm classification of the corpus (public regulatory content plus internal metadata), residency requirements and retention obligations for the cloud footprint.</t>
  </si>
  <si>
    <t xml:space="preserve">Classification recorded; residency constraints reflected in region/bucket choices; retention schedule agreed with compliance</t>
  </si>
  <si>
    <t xml:space="preserve">PM-S7</t>
  </si>
  <si>
    <t xml:space="preserve">PM: sprint ceremonies, cloud dependency management</t>
  </si>
  <si>
    <t xml:space="preserve">Recurring PM allocation plus coordination with the platform team.</t>
  </si>
  <si>
    <t xml:space="preserve">Ceremonies held; cross-team dependencies tracked; sprint report issued</t>
  </si>
  <si>
    <t xml:space="preserve">REG-901</t>
  </si>
  <si>
    <t xml:space="preserve">E13</t>
  </si>
  <si>
    <t xml:space="preserve">Production Integration, Security &amp; Operations</t>
  </si>
  <si>
    <t xml:space="preserve">Sprint 9</t>
  </si>
  <si>
    <t xml:space="preserve">Register reg_* tools on the production MCP server</t>
  </si>
  <si>
    <t xml:space="preserve">Deploy the twelve reg_* tool definitions into the existing production MCP server so the production agent can call them, without forking platform code.</t>
  </si>
  <si>
    <t xml:space="preserve">All twelve tools discoverable and callable in production; naming does not collide with existing platform tools; mutating tool (trigger run) gated by role; smoke test from the production agent passes</t>
  </si>
  <si>
    <t xml:space="preserve">Tools are config-driven; index+content planes already built</t>
  </si>
  <si>
    <t xml:space="preserve">REG-902</t>
  </si>
  <si>
    <t xml:space="preserve">E12</t>
  </si>
  <si>
    <t xml:space="preserve">Scale &amp; Performance (100 → 5,000 users)</t>
  </si>
  <si>
    <t xml:space="preserve">Eliminate per-row object-store reads on the read path</t>
  </si>
  <si>
    <t xml:space="preserve">Remove N+1 storage reads: persist document excerpts as a database column at ingest instead of reading each markdown file per listing row, and stop reading document bodies during search scoring.</t>
  </si>
  <si>
    <t xml:space="preserve">Corpus listing issues a single database query with zero object-store calls; excerpt backfilled for existing corpus and maintained at ingest; p95 listing latency under target with cold cache</t>
  </si>
  <si>
    <t xml:space="preserve">Measured defect: 50-row page = 50 object reads</t>
  </si>
  <si>
    <t xml:space="preserve">REG-903</t>
  </si>
  <si>
    <t xml:space="preserve">Delegate content search to the platform search layer</t>
  </si>
  <si>
    <t xml:space="preserve">Point content retrieval at the platform's existing BM25/RAG index over the markdown projection, keeping the filter-then-rank contract; retire the interim in-process scorer.</t>
  </si>
  <si>
    <t xml:space="preserve">reg_search filters in SQL then ranks via the platform index; results and citations equivalent or better than interim ranker; latency budget met on the full corpus</t>
  </si>
  <si>
    <t xml:space="preserve">Owner's stack already provides BM25/RAG</t>
  </si>
  <si>
    <t xml:space="preserve">REG-904</t>
  </si>
  <si>
    <t xml:space="preserve">Horizontally scalable stateless read tier</t>
  </si>
  <si>
    <t xml:space="preserve">Run the dashboard/API tier as stateless replicas behind the platform load balancer with autoscaling, connection pooling to RDS, and graceful shutdown.</t>
  </si>
  <si>
    <t xml:space="preserve">Service scales out and in under load with no session affinity; database connections bounded and pooled; rolling deploy causes no failed requests</t>
  </si>
  <si>
    <t xml:space="preserve">Thread-scoped sessions already fix pool leakage</t>
  </si>
  <si>
    <t xml:space="preserve">REG-905</t>
  </si>
  <si>
    <t xml:space="preserve">Response caching for hot read endpoints</t>
  </si>
  <si>
    <t xml:space="preserve">Cache coverage tree, facet counts and change-feed responses with short, explicit TTLs and invalidation on ingest completion.</t>
  </si>
  <si>
    <t xml:space="preserve">Repeat dashboard loads served from cache; cache invalidated within one minute of a completed run; cache hit ratio and staleness observable</t>
  </si>
  <si>
    <t xml:space="preserve">REG-906</t>
  </si>
  <si>
    <t xml:space="preserve">SSO authentication and role-based access control</t>
  </si>
  <si>
    <t xml:space="preserve">Replace single-operator access with platform SSO and two roles: analyst (read) and operator (run, toggle, manual ingest); identity flows into the existing audit trail.</t>
  </si>
  <si>
    <t xml:space="preserve">Unauthenticated access refused; analysts cannot trigger runs or manual ingests; every mutating action recorded with the authenticated identity; access matrix matches the signed-off definition</t>
  </si>
  <si>
    <t xml:space="preserve">Audit trail and operator attribution already implemented</t>
  </si>
  <si>
    <t xml:space="preserve">REG-907</t>
  </si>
  <si>
    <t xml:space="preserve">Per-tenant API keys, quotas and rate limiting</t>
  </si>
  <si>
    <t xml:space="preserve">Issue scoped keys per team/agent with request quotas and rate limits so one consumer cannot degrade the service for 5,000 users.</t>
  </si>
  <si>
    <t xml:space="preserve">Keys scoped to reg_* tools; quota and rate limit enforced with clear error responses; usage attributable per key; limits configurable without redeploy</t>
  </si>
  <si>
    <t xml:space="preserve">Allowlist enforcement already built</t>
  </si>
  <si>
    <t xml:space="preserve">REG-908</t>
  </si>
  <si>
    <t xml:space="preserve">Queue-based parallel ingestion</t>
  </si>
  <si>
    <t xml:space="preserve">Introduce a work queue between detection and fetch so multiple workers process documents concurrently, keeping the daily window comfortable as coverage depth grows, while preserving per-regulator politeness limits.</t>
  </si>
  <si>
    <t xml:space="preserve">Full fleet run completes within the agreed window; per-domain rate limits still honoured; failures isolated per document; ordering-independent and idempotent</t>
  </si>
  <si>
    <t xml:space="preserve">Pipeline is already stateless and idempotent</t>
  </si>
  <si>
    <t xml:space="preserve">REG-909</t>
  </si>
  <si>
    <t xml:space="preserve">BA: role and access matrix definition</t>
  </si>
  <si>
    <t xml:space="preserve">Define analyst/operator/administrator permissions across UI and tools and obtain security sign-off.</t>
  </si>
  <si>
    <t xml:space="preserve">Matrix signed off; mapped to implemented roles; exceptions documented</t>
  </si>
  <si>
    <t xml:space="preserve">PM-S8</t>
  </si>
  <si>
    <t xml:space="preserve">PM: sprint ceremonies, integration coordination</t>
  </si>
  <si>
    <t xml:space="preserve">Recurring PM allocation plus platform-team integration coordination.</t>
  </si>
  <si>
    <t xml:space="preserve">Ceremonies held; integration risks tracked; sprint report issued</t>
  </si>
  <si>
    <t xml:space="preserve">REG-1001</t>
  </si>
  <si>
    <t xml:space="preserve">Sprint 10</t>
  </si>
  <si>
    <t xml:space="preserve">Load and soak testing to 5,000 users</t>
  </si>
  <si>
    <t xml:space="preserve">Define SLOs and prove them: model realistic analyst and agent traffic, run peak-load and multi-hour soak tests including a concurrent ingestion window.</t>
  </si>
  <si>
    <t xml:space="preserve">Agreed SLOs documented; peak load sustained within latency budgets; soak shows no memory/connection leak; results reported with headroom analysis and breaking point identified</t>
  </si>
  <si>
    <t xml:space="preserve">Read load is user-driven; collection load is fixed</t>
  </si>
  <si>
    <t xml:space="preserve">REG-1002</t>
  </si>
  <si>
    <t xml:space="preserve">Performance tuning from load-test findings</t>
  </si>
  <si>
    <t xml:space="preserve">Address the bottlenecks the load test surfaces: query plans and indexes, pagination limits, payload sizes, and any remaining chatty calls.</t>
  </si>
  <si>
    <t xml:space="preserve">Each identified bottleneck has a measured before/after; SLOs met with agreed headroom; changes covered by regression tests</t>
  </si>
  <si>
    <t xml:space="preserve">REG-1003</t>
  </si>
  <si>
    <t xml:space="preserve">Observability: metrics, logs and dashboards</t>
  </si>
  <si>
    <t xml:space="preserve">Emit structured logs and service metrics (ingestion volume and errors, corpus freshness, tool latency and error rate, queue depth) into the platform's monitoring stack with an operations dashboard.</t>
  </si>
  <si>
    <t xml:space="preserve">Golden signals visible per service; ingestion and corpus health tracked over time; logs correlatable by run and request identifier</t>
  </si>
  <si>
    <t xml:space="preserve">Run manifests and counters already provide the data</t>
  </si>
  <si>
    <t xml:space="preserve">REG-1004</t>
  </si>
  <si>
    <t xml:space="preserve">Alerting and operational runbooks</t>
  </si>
  <si>
    <t xml:space="preserve">Alert on the conditions that matter — failed or missed daily run, regulator staleness beyond threshold, integrity violation, elevated tool error rate — each with a runbook.</t>
  </si>
  <si>
    <t xml:space="preserve">Every alert has an owner, severity and runbook; alerts tested by injecting each condition; no alert without a documented response</t>
  </si>
  <si>
    <t xml:space="preserve">Integrity check already exits non-zero on violations</t>
  </si>
  <si>
    <t xml:space="preserve">REG-1005</t>
  </si>
  <si>
    <t xml:space="preserve">CI/CD pipeline with automated quality gates</t>
  </si>
  <si>
    <t xml:space="preserve">Automate build, test and deployment: full test suite and foundation gate on every change, image build and scan, staged deployment with rollback.</t>
  </si>
  <si>
    <t xml:space="preserve">No manual deployment steps; pipeline blocks on failing tests or critical vulnerabilities; rollback exercised successfully at least once</t>
  </si>
  <si>
    <t xml:space="preserve">92-test suite + foundation gate ready to wire</t>
  </si>
  <si>
    <t xml:space="preserve">REG-1006</t>
  </si>
  <si>
    <t xml:space="preserve">Security review and hardening</t>
  </si>
  <si>
    <t xml:space="preserve">Complete pre-production security work: TLS everywhere, no default credentials, least-privilege IAM and bucket policies, dependency and image scanning, remediation of review findings.</t>
  </si>
  <si>
    <t xml:space="preserve">Security review passed with no open high findings; default credentials eliminated; egress allow-list covers regulator domains; findings tracked to closure</t>
  </si>
  <si>
    <t xml:space="preserve">MANDATORY gate before exposure beyond localhost</t>
  </si>
  <si>
    <t xml:space="preserve">REG-1007</t>
  </si>
  <si>
    <t xml:space="preserve">Cost model and optimisation</t>
  </si>
  <si>
    <t xml:space="preserve">Model steady-state cost (compute, RDS, S3 storage and requests, egress) at 5,000 users and apply the obvious optimisations; set budget alarms.</t>
  </si>
  <si>
    <t xml:space="preserve">Cost per month projected with assumptions stated; S3 lifecycle tiering applied to archive; budget alarm configured; unit cost per user reported</t>
  </si>
  <si>
    <t xml:space="preserve">REG-1008</t>
  </si>
  <si>
    <t xml:space="preserve">Production cutover and hypercare</t>
  </si>
  <si>
    <t xml:space="preserve">Execute the cutover: final data sync, DNS/route switch, agent repointed to production tools, decommission of the interim environment, and a defined hypercare period.</t>
  </si>
  <si>
    <t xml:space="preserve">Cutover run to a rehearsed plan with rollback available; no data loss verified by count and checksum; hypercare issues triaged daily; interim environment retired</t>
  </si>
  <si>
    <t xml:space="preserve">REG-1009</t>
  </si>
  <si>
    <t xml:space="preserve">BA: production acceptance and go-live sign-off</t>
  </si>
  <si>
    <t xml:space="preserve">Run acceptance against production with real users and obtain formal go-live approval.</t>
  </si>
  <si>
    <t xml:space="preserve">Acceptance script executed in production; defects dispositioned; signed go-live approval recorded</t>
  </si>
  <si>
    <t xml:space="preserve">PM-S9</t>
  </si>
  <si>
    <t xml:space="preserve">PM: sprint ceremonies, security &amp; integration coordination</t>
  </si>
  <si>
    <t xml:space="preserve">Readiness review, cutover coordination, hypercare tracking and project closure.</t>
  </si>
  <si>
    <t xml:space="preserve">Go/no-go held with documented decision; cutover coordinated; closure report issued</t>
  </si>
  <si>
    <t xml:space="preserve">PM-S10</t>
  </si>
  <si>
    <t xml:space="preserve">PM: hypercare tracking and project closure</t>
  </si>
  <si>
    <t xml:space="preserve">Final sprint PM allocation: cutover coordination, hypercare triage, closure report and handover.</t>
  </si>
  <si>
    <t xml:space="preserve">Hypercare issues triaged daily; closure report issued; handover acknowledged</t>
  </si>
  <si>
    <t xml:space="preserve">REG-701</t>
  </si>
  <si>
    <t xml:space="preserve">Backlog</t>
  </si>
  <si>
    <t xml:space="preserve">Federal Register full text via govinfo.gov bulk data</t>
  </si>
  <si>
    <t xml:space="preserve">Replace abstract/stub fallback with sanctioned full text from GPO govinfo bulk repository (separate host built for programmatic bulk use).</t>
  </si>
  <si>
    <t xml:space="preserve">Full text for new FR docs; existing stubs self-heal to full text as revisions; no ToS risk</t>
  </si>
  <si>
    <t xml:space="preserve">Roadmap #1; adapter pattern ready</t>
  </si>
  <si>
    <t xml:space="preserve">REG-702</t>
  </si>
  <si>
    <t xml:space="preserve">Simple-mode overview landing page</t>
  </si>
  <si>
    <t xml:space="preserve">First-time-user landing: one plain-English headline, ≤4 tiles, one regulator×(web/PDF/today delta/health-dot) table; ops detail moves behind drill-ins; analyst vs operator modes.</t>
  </si>
  <si>
    <t xml:space="preserve">New user answers 'what do we have / what changed today / is it healthy' in &lt;10s without training</t>
  </si>
  <si>
    <t xml:space="preserve">UX proposal documented</t>
  </si>
  <si>
    <t xml:space="preserve">REG-703</t>
  </si>
  <si>
    <t xml:space="preserve">Playwright fetch path for JS-heavy sites</t>
  </si>
  <si>
    <t xml:space="preserve">Browser-rendered fetching for regulators whose listings require JavaScript (MAS, some NYDFS).</t>
  </si>
  <si>
    <t xml:space="preserve">fetch:playwright configs ingest content where plain HTTP yields none</t>
  </si>
  <si>
    <t xml:space="preserve">Config field already parses</t>
  </si>
  <si>
    <t xml:space="preserve">REG-704</t>
  </si>
  <si>
    <t xml:space="preserve">PostgreSQL migration</t>
  </si>
  <si>
    <t xml:space="preserve">Flip db.type to Postgres using the shipped DDL; enable pg_trgm for title-similarity reference resolution.</t>
  </si>
  <si>
    <t xml:space="preserve">All tests green on Postgres; no write-lock contention during concurrent crawl+agent load</t>
  </si>
  <si>
    <t xml:space="preserve">DDL ready</t>
  </si>
  <si>
    <t xml:space="preserve">REG-705</t>
  </si>
  <si>
    <t xml:space="preserve">Expected inventories for EBA / FCA / APRA</t>
  </si>
  <si>
    <t xml:space="preserve">Extend completeness proofs beyond OSFI using each regulator's official register/index.</t>
  </si>
  <si>
    <t xml:space="preserve">Per-series present/missing for 3 more regulators; gaps drive targeted gap-fills</t>
  </si>
  <si>
    <t xml:space="preserve">REG-706</t>
  </si>
  <si>
    <t xml:space="preserve">Weekly digest webhook</t>
  </si>
  <si>
    <t xml:space="preserve">Teams/email digest generated from the changes feed (per-desk filters).</t>
  </si>
  <si>
    <t xml:space="preserve">Scheduled digest delivered with citations; opt-in filters per audience</t>
  </si>
  <si>
    <t xml:space="preserve">Spec FR-9</t>
  </si>
  <si>
    <t xml:space="preserve">REG-707</t>
  </si>
  <si>
    <t xml:space="preserve">AMF Québec access via official whitelisting</t>
  </si>
  <si>
    <t xml:space="preserve">Engage AMF for institutional IP/UA whitelisting (site bot-blocks all automation); fallback: licensed feed.</t>
  </si>
  <si>
    <t xml:space="preserve">AMF collecting via sanctioned access; zero evasion techniques used</t>
  </si>
  <si>
    <t xml:space="preserve">Escalated; contact pending</t>
  </si>
  <si>
    <t xml:space="preserve">REG-708</t>
  </si>
  <si>
    <t xml:space="preserve">Production hardening</t>
  </si>
  <si>
    <t xml:space="preserve">Pre-exposure hardening: replace default admin credentials, TLS/reverse proxy, restricted bind, secrets management, key rotation SOP.</t>
  </si>
  <si>
    <t xml:space="preserve">Security checklist passed before any non-localhost exposure</t>
  </si>
  <si>
    <t xml:space="preserve">MANDATORY before deployment beyond localhost</t>
  </si>
  <si>
    <t xml:space="preserve">REG-709</t>
  </si>
  <si>
    <t xml:space="preserve">OCR for scanned policy PDFs</t>
  </si>
  <si>
    <t xml:space="preserve">Tesseract path for image-only PDFs (currently 6 docs, 97% extract fine without).</t>
  </si>
  <si>
    <t xml:space="preserve">ocr:true docs gain searchable text; volume-triggered (revisit if scanned share grows)</t>
  </si>
  <si>
    <t xml:space="preserve">Deprioritized by owner 2026-08-04</t>
  </si>
  <si>
    <t xml:space="preserve">REG-710</t>
  </si>
  <si>
    <t xml:space="preserve">LLM enrichment integration</t>
  </si>
  <si>
    <t xml:space="preserve">Wire the owner's LLM gateway into the enrichment slot: real summaries (summary.md), taxonomy topic tags, doc-type reclassification, date/deadline extraction; golden-set eval gates.</t>
  </si>
  <si>
    <t xml:space="preserve">Summaries replace excerpts; doc_type distribution reflects reality (not 90% announcement); deadline feed populated; eval ≥90% tagging accuracy</t>
  </si>
  <si>
    <t xml:space="preserve">MockLLM slot + eval harness pattern in place</t>
  </si>
  <si>
    <t xml:space="preserve">TC ID</t>
  </si>
  <si>
    <t xml:space="preserve">Type</t>
  </si>
  <si>
    <t xml:space="preserve">Test Case</t>
  </si>
  <si>
    <t xml:space="preserve">Verifies</t>
  </si>
  <si>
    <t xml:space="preserve">Evidence</t>
  </si>
  <si>
    <t xml:space="preserve">ATC-01</t>
  </si>
  <si>
    <t xml:space="preserve">REG-401/402</t>
  </si>
  <si>
    <t xml:space="preserve">Integration</t>
  </si>
  <si>
    <t xml:space="preserve">test_coverage_matrix</t>
  </si>
  <si>
    <t xml:space="preserve">Coverage matrix, drill-down, audited rerun/toggle, integrity</t>
  </si>
  <si>
    <t xml:space="preserve">Pass</t>
  </si>
  <si>
    <t xml:space="preserve">tests/regagg/test_admin.py::test_coverage_matrix</t>
  </si>
  <si>
    <t xml:space="preserve">ATC-02</t>
  </si>
  <si>
    <t xml:space="preserve">test_regulator_detail_and_runs</t>
  </si>
  <si>
    <t xml:space="preserve">tests/regagg/test_admin.py::test_regulator_detail_and_runs</t>
  </si>
  <si>
    <t xml:space="preserve">ATC-03</t>
  </si>
  <si>
    <t xml:space="preserve">test_rerun_is_audited</t>
  </si>
  <si>
    <t xml:space="preserve">tests/regagg/test_admin.py::test_rerun_is_audited</t>
  </si>
  <si>
    <t xml:space="preserve">ATC-04</t>
  </si>
  <si>
    <t xml:space="preserve">test_toggle_flips_active_and_audits</t>
  </si>
  <si>
    <t xml:space="preserve">tests/regagg/test_admin.py::test_toggle_flips_active_and_audits</t>
  </si>
  <si>
    <t xml:space="preserve">ATC-05</t>
  </si>
  <si>
    <t xml:space="preserve">test_integrity_ok</t>
  </si>
  <si>
    <t xml:space="preserve">tests/regagg/test_admin.py::test_integrity_ok</t>
  </si>
  <si>
    <t xml:space="preserve">ATC-06</t>
  </si>
  <si>
    <t xml:space="preserve">REG-204/205/206/301/306</t>
  </si>
  <si>
    <t xml:space="preserve">test_sitemap_connector_detects_and_maps_doc_type</t>
  </si>
  <si>
    <t xml:space="preserve">Connector detection per engine vs real configs; OSFI end-to-end incl. forced update→archive; rerun idempotency</t>
  </si>
  <si>
    <t xml:space="preserve">tests/regagg/test_connectors_pipeline.py::test_sitemap_connector_detects_and_maps_doc_type</t>
  </si>
  <si>
    <t xml:space="preserve">ATC-07</t>
  </si>
  <si>
    <t xml:space="preserve">test_sitemap_lastmod_fast_path_skips_unchanged</t>
  </si>
  <si>
    <t xml:space="preserve">tests/regagg/test_connectors_pipeline.py::test_sitemap_lastmod_fast_path_skips_unchanged</t>
  </si>
  <si>
    <t xml:space="preserve">ATC-08</t>
  </si>
  <si>
    <t xml:space="preserve">test_rss_connector_dedups_and_parses</t>
  </si>
  <si>
    <t xml:space="preserve">tests/regagg/test_connectors_pipeline.py::test_rss_connector_dedups_and_parses</t>
  </si>
  <si>
    <t xml:space="preserve">ATC-09</t>
  </si>
  <si>
    <t xml:space="preserve">test_api_connector_federal_register</t>
  </si>
  <si>
    <t xml:space="preserve">tests/regagg/test_connectors_pipeline.py::test_api_connector_federal_register</t>
  </si>
  <si>
    <t xml:space="preserve">ATC-10</t>
  </si>
  <si>
    <t xml:space="preserve">test_osfi_end_to_end_create_then_forced_update_archives</t>
  </si>
  <si>
    <t xml:space="preserve">tests/regagg/test_connectors_pipeline.py::test_osfi_end_to_end_create_then_forced_update_archives</t>
  </si>
  <si>
    <t xml:space="preserve">ATC-11</t>
  </si>
  <si>
    <t xml:space="preserve">test_rerun_same_day_is_idempotent</t>
  </si>
  <si>
    <t xml:space="preserve">tests/regagg/test_connectors_pipeline.py::test_rerun_same_day_is_idempotent</t>
  </si>
  <si>
    <t xml:space="preserve">ATC-12</t>
  </si>
  <si>
    <t xml:space="preserve">Unit</t>
  </si>
  <si>
    <t xml:space="preserve">test_enrich_classifies_tags_dates_and_supersedes</t>
  </si>
  <si>
    <t xml:space="preserve">LLM-slot enrichment contract: taxonomy tags, dates never guessed, supersedes flip, enrichment_pending fallback</t>
  </si>
  <si>
    <t xml:space="preserve">tests/regagg/test_enrichment.py::test_enrich_classifies_tags_dates_and_supersedes</t>
  </si>
  <si>
    <t xml:space="preserve">ATC-13</t>
  </si>
  <si>
    <t xml:space="preserve">test_unresolved_reference_goes_to_pending_edges</t>
  </si>
  <si>
    <t xml:space="preserve">tests/regagg/test_enrichment.py::test_unresolved_reference_goes_to_pending_edges</t>
  </si>
  <si>
    <t xml:space="preserve">ATC-14</t>
  </si>
  <si>
    <t xml:space="preserve">test_invalid_llm_output_marks_enrichment_pending</t>
  </si>
  <si>
    <t xml:space="preserve">tests/regagg/test_enrichment.py::test_invalid_llm_output_marks_enrichment_pending</t>
  </si>
  <si>
    <t xml:space="preserve">ATC-15</t>
  </si>
  <si>
    <t xml:space="preserve">Unit+Regression</t>
  </si>
  <si>
    <t xml:space="preserve">test_html_url_is_markdownified</t>
  </si>
  <si>
    <t xml:space="preserve">HTML→md; PDF magic-byte routing (block-page regression); URL-title humanizer</t>
  </si>
  <si>
    <t xml:space="preserve">tests/regagg/test_fetch.py::test_html_url_is_markdownified</t>
  </si>
  <si>
    <t xml:space="preserve">ATC-16</t>
  </si>
  <si>
    <t xml:space="preserve">test_pdf_url_returning_html_is_treated_as_html</t>
  </si>
  <si>
    <t xml:space="preserve">tests/regagg/test_fetch.py::test_pdf_url_returning_html_is_treated_as_html</t>
  </si>
  <si>
    <t xml:space="preserve">ATC-17</t>
  </si>
  <si>
    <t xml:space="preserve">test_real_pdf_bytes_use_pdf_path</t>
  </si>
  <si>
    <t xml:space="preserve">tests/regagg/test_fetch.py::test_real_pdf_bytes_use_pdf_path</t>
  </si>
  <si>
    <t xml:space="preserve">ATC-18</t>
  </si>
  <si>
    <t xml:space="preserve">test_title_from_url_humanizes_pdf_names</t>
  </si>
  <si>
    <t xml:space="preserve">tests/regagg/test_fetch.py::test_title_from_url_humanizes_pdf_names</t>
  </si>
  <si>
    <t xml:space="preserve">ATC-19</t>
  </si>
  <si>
    <t xml:space="preserve">REG-506/507</t>
  </si>
  <si>
    <t xml:space="preserve">test_reg_search_ranks_and_filters</t>
  </si>
  <si>
    <t xml:space="preserve">All 12 MCP tools against seeded corpus; generated configs; trigger delegates to runtime</t>
  </si>
  <si>
    <t xml:space="preserve">tests/regagg/test_mcp_tools.py::test_reg_search_ranks_and_filters</t>
  </si>
  <si>
    <t xml:space="preserve">ATC-20</t>
  </si>
  <si>
    <t xml:space="preserve">test_reg_read_modes_and_version</t>
  </si>
  <si>
    <t xml:space="preserve">tests/regagg/test_mcp_tools.py::test_reg_read_modes_and_version</t>
  </si>
  <si>
    <t xml:space="preserve">ATC-21</t>
  </si>
  <si>
    <t xml:space="preserve">test_reg_tags_counts_and_category</t>
  </si>
  <si>
    <t xml:space="preserve">tests/regagg/test_mcp_tools.py::test_reg_tags_counts_and_category</t>
  </si>
  <si>
    <t xml:space="preserve">ATC-22</t>
  </si>
  <si>
    <t xml:space="preserve">test_reg_whats_new_window</t>
  </si>
  <si>
    <t xml:space="preserve">tests/regagg/test_mcp_tools.py::test_reg_whats_new_window</t>
  </si>
  <si>
    <t xml:space="preserve">ATC-23</t>
  </si>
  <si>
    <t xml:space="preserve">test_reg_graph_traverses_supersedes</t>
  </si>
  <si>
    <t xml:space="preserve">tests/regagg/test_mcp_tools.py::test_reg_graph_traverses_supersedes</t>
  </si>
  <si>
    <t xml:space="preserve">ATC-24</t>
  </si>
  <si>
    <t xml:space="preserve">test_generated_tool_configs_are_valid</t>
  </si>
  <si>
    <t xml:space="preserve">tests/regagg/test_mcp_tools.py::test_generated_tool_configs_are_valid</t>
  </si>
  <si>
    <t xml:space="preserve">ATC-25</t>
  </si>
  <si>
    <t xml:space="preserve">test_index_plane_tools</t>
  </si>
  <si>
    <t xml:space="preserve">tests/regagg/test_mcp_tools.py::test_index_plane_tools</t>
  </si>
  <si>
    <t xml:space="preserve">ATC-26</t>
  </si>
  <si>
    <t xml:space="preserve">test_trigger_tool_uses_runtime_trigger</t>
  </si>
  <si>
    <t xml:space="preserve">tests/regagg/test_mcp_tools.py::test_trigger_tool_uses_runtime_trigger</t>
  </si>
  <si>
    <t xml:space="preserve">ATC-27</t>
  </si>
  <si>
    <t xml:space="preserve">test_daily_fanout_isolates_one_regulator_failure</t>
  </si>
  <si>
    <t xml:space="preserve">Fleet fan-out failure isolation; audited subset rerun; reconcile</t>
  </si>
  <si>
    <t xml:space="preserve">tests/regagg/test_orchestrator.py::test_daily_fanout_isolates_one_regulator_failure</t>
  </si>
  <si>
    <t xml:space="preserve">ATC-28</t>
  </si>
  <si>
    <t xml:space="preserve">test_rerun_subset_is_idempotent</t>
  </si>
  <si>
    <t xml:space="preserve">tests/regagg/test_orchestrator.py::test_rerun_subset_is_idempotent</t>
  </si>
  <si>
    <t xml:space="preserve">ATC-29</t>
  </si>
  <si>
    <t xml:space="preserve">E2E-Fixture</t>
  </si>
  <si>
    <t xml:space="preserve">test_connector_parses_recorded_payload</t>
  </si>
  <si>
    <t xml:space="preserve">Every regulator's connector parses its real recorded payload (29 regs)</t>
  </si>
  <si>
    <t xml:space="preserve">tests/regagg/test_recorded_fixtures.py::test_connector_parses_recorded_payload[apra]</t>
  </si>
  <si>
    <t xml:space="preserve">ATC-30</t>
  </si>
  <si>
    <t xml:space="preserve">tests/regagg/test_recorded_fixtures.py::test_connector_parses_recorded_payload[bis_bcbs]</t>
  </si>
  <si>
    <t xml:space="preserve">ATC-31</t>
  </si>
  <si>
    <t xml:space="preserve">tests/regagg/test_recorded_fixtures.py::test_connector_parses_recorded_payload[boc]</t>
  </si>
  <si>
    <t xml:space="preserve">ATC-32</t>
  </si>
  <si>
    <t xml:space="preserve">tests/regagg/test_recorded_fixtures.py::test_connector_parses_recorded_payload[boe_pra]</t>
  </si>
  <si>
    <t xml:space="preserve">ATC-33</t>
  </si>
  <si>
    <t xml:space="preserve">tests/regagg/test_recorded_fixtures.py::test_connector_parses_recorded_payload[cftc]</t>
  </si>
  <si>
    <t xml:space="preserve">ATC-34</t>
  </si>
  <si>
    <t xml:space="preserve">tests/regagg/test_recorded_fixtures.py::test_connector_parses_recorded_payload[csa]</t>
  </si>
  <si>
    <t xml:space="preserve">ATC-35</t>
  </si>
  <si>
    <t xml:space="preserve">tests/regagg/test_recorded_fixtures.py::test_connector_parses_recorded_payload[eba]</t>
  </si>
  <si>
    <t xml:space="preserve">ATC-36</t>
  </si>
  <si>
    <t xml:space="preserve">tests/regagg/test_recorded_fixtures.py::test_connector_parses_recorded_payload[ecb_ssm]</t>
  </si>
  <si>
    <t xml:space="preserve">ATC-37</t>
  </si>
  <si>
    <t xml:space="preserve">tests/regagg/test_recorded_fixtures.py::test_connector_parses_recorded_payload[eiopa]</t>
  </si>
  <si>
    <t xml:space="preserve">ATC-38</t>
  </si>
  <si>
    <t xml:space="preserve">tests/regagg/test_recorded_fixtures.py::test_connector_parses_recorded_payload[esma]</t>
  </si>
  <si>
    <t xml:space="preserve">ATC-39</t>
  </si>
  <si>
    <t xml:space="preserve">tests/regagg/test_recorded_fixtures.py::test_connector_parses_recorded_payload[fca]</t>
  </si>
  <si>
    <t xml:space="preserve">ATC-40</t>
  </si>
  <si>
    <t xml:space="preserve">tests/regagg/test_recorded_fixtures.py::test_connector_parses_recorded_payload[fdic]</t>
  </si>
  <si>
    <t xml:space="preserve">ATC-41</t>
  </si>
  <si>
    <t xml:space="preserve">tests/regagg/test_recorded_fixtures.py::test_connector_parses_recorded_payload[fedreg]</t>
  </si>
  <si>
    <t xml:space="preserve">ATC-42</t>
  </si>
  <si>
    <t xml:space="preserve">tests/regagg/test_recorded_fixtures.py::test_connector_parses_recorded_payload[fincen]</t>
  </si>
  <si>
    <t xml:space="preserve">ATC-43</t>
  </si>
  <si>
    <t xml:space="preserve">tests/regagg/test_recorded_fixtures.py::test_connector_parses_recorded_payload[finra]</t>
  </si>
  <si>
    <t xml:space="preserve">ATC-44</t>
  </si>
  <si>
    <t xml:space="preserve">tests/regagg/test_recorded_fixtures.py::test_connector_parses_recorded_payload[fintrac]</t>
  </si>
  <si>
    <t xml:space="preserve">ATC-45</t>
  </si>
  <si>
    <t xml:space="preserve">tests/regagg/test_recorded_fixtures.py::test_connector_parses_recorded_payload[frb]</t>
  </si>
  <si>
    <t xml:space="preserve">ATC-46</t>
  </si>
  <si>
    <t xml:space="preserve">tests/regagg/test_recorded_fixtures.py::test_connector_parses_recorded_payload[fsb]</t>
  </si>
  <si>
    <t xml:space="preserve">ATC-47</t>
  </si>
  <si>
    <t xml:space="preserve">tests/regagg/test_recorded_fixtures.py::test_connector_parses_recorded_payload[hkma]</t>
  </si>
  <si>
    <t xml:space="preserve">ATC-48</t>
  </si>
  <si>
    <t xml:space="preserve">tests/regagg/test_recorded_fixtures.py::test_connector_parses_recorded_payload[iais]</t>
  </si>
  <si>
    <t xml:space="preserve">ATC-49</t>
  </si>
  <si>
    <t xml:space="preserve">tests/regagg/test_recorded_fixtures.py::test_connector_parses_recorded_payload[iosco]</t>
  </si>
  <si>
    <t xml:space="preserve">ATC-50</t>
  </si>
  <si>
    <t xml:space="preserve">tests/regagg/test_recorded_fixtures.py::test_connector_parses_recorded_payload[jfsa]</t>
  </si>
  <si>
    <t xml:space="preserve">ATC-51</t>
  </si>
  <si>
    <t xml:space="preserve">tests/regagg/test_recorded_fixtures.py::test_connector_parses_recorded_payload[mas]</t>
  </si>
  <si>
    <t xml:space="preserve">ATC-52</t>
  </si>
  <si>
    <t xml:space="preserve">tests/regagg/test_recorded_fixtures.py::test_connector_parses_recorded_payload[nydfs]</t>
  </si>
  <si>
    <t xml:space="preserve">ATC-53</t>
  </si>
  <si>
    <t xml:space="preserve">tests/regagg/test_recorded_fixtures.py::test_connector_parses_recorded_payload[occ]</t>
  </si>
  <si>
    <t xml:space="preserve">ATC-54</t>
  </si>
  <si>
    <t xml:space="preserve">tests/regagg/test_recorded_fixtures.py::test_connector_parses_recorded_payload[osc]</t>
  </si>
  <si>
    <t xml:space="preserve">ATC-55</t>
  </si>
  <si>
    <t xml:space="preserve">tests/regagg/test_recorded_fixtures.py::test_connector_parses_recorded_payload[osfi]</t>
  </si>
  <si>
    <t xml:space="preserve">ATC-56</t>
  </si>
  <si>
    <t xml:space="preserve">tests/regagg/test_recorded_fixtures.py::test_connector_parses_recorded_payload[rbi]</t>
  </si>
  <si>
    <t xml:space="preserve">ATC-57</t>
  </si>
  <si>
    <t xml:space="preserve">tests/regagg/test_recorded_fixtures.py::test_connector_parses_recorded_payload[sec]</t>
  </si>
  <si>
    <t xml:space="preserve">ATC-58</t>
  </si>
  <si>
    <t xml:space="preserve">test_fixture_coverage_report</t>
  </si>
  <si>
    <t xml:space="preserve">tests/regagg/test_recorded_fixtures.py::test_fixture_coverage_report</t>
  </si>
  <si>
    <t xml:space="preserve">ATC-59</t>
  </si>
  <si>
    <t xml:space="preserve">REG-405/406/302/303/601</t>
  </si>
  <si>
    <t xml:space="preserve">Unit+Integration</t>
  </si>
  <si>
    <t xml:space="preserve">test_extract_reference_number_patterns</t>
  </si>
  <si>
    <t xml:space="preserve">Reference grammars; sentence-scoped supersede; PDF harvest + source_kind; meta-source dedup; backfill cutoff; markdown projection</t>
  </si>
  <si>
    <t xml:space="preserve">tests/regagg/test_rules_and_capture.py::test_extract_reference_number_patterns</t>
  </si>
  <si>
    <t xml:space="preserve">ATC-60</t>
  </si>
  <si>
    <t xml:space="preserve">test_extract_citations_supersede_vs_reference</t>
  </si>
  <si>
    <t xml:space="preserve">tests/regagg/test_rules_and_capture.py::test_extract_citations_supersede_vs_reference</t>
  </si>
  <si>
    <t xml:space="preserve">ATC-61</t>
  </si>
  <si>
    <t xml:space="preserve">test_apply_rules_creates_edges_and_pending</t>
  </si>
  <si>
    <t xml:space="preserve">tests/regagg/test_rules_and_capture.py::test_apply_rules_creates_edges_and_pending</t>
  </si>
  <si>
    <t xml:space="preserve">ATC-62</t>
  </si>
  <si>
    <t xml:space="preserve">test_pdf_harvest_and_source_kind</t>
  </si>
  <si>
    <t xml:space="preserve">tests/regagg/test_rules_and_capture.py::test_pdf_harvest_and_source_kind</t>
  </si>
  <si>
    <t xml:space="preserve">ATC-63</t>
  </si>
  <si>
    <t xml:space="preserve">test_meta_source_dedup_skips_agency_duplicates</t>
  </si>
  <si>
    <t xml:space="preserve">tests/regagg/test_rules_and_capture.py::test_meta_source_dedup_skips_agency_duplicates</t>
  </si>
  <si>
    <t xml:space="preserve">ATC-64</t>
  </si>
  <si>
    <t xml:space="preserve">test_rss_backfill_cutoff_skips_old_items</t>
  </si>
  <si>
    <t xml:space="preserve">tests/regagg/test_rules_and_capture.py::test_rss_backfill_cutoff_skips_old_items</t>
  </si>
  <si>
    <t xml:space="preserve">ATC-65</t>
  </si>
  <si>
    <t xml:space="preserve">test_projection_write_through_and_layout</t>
  </si>
  <si>
    <t xml:space="preserve">tests/regagg/test_rules_and_capture.py::test_projection_write_through_and_layout</t>
  </si>
  <si>
    <t xml:space="preserve">ATC-66</t>
  </si>
  <si>
    <t xml:space="preserve">REG-401/403/501/502/504/505</t>
  </si>
  <si>
    <t xml:space="preserve">Integration+Regression</t>
  </si>
  <si>
    <t xml:space="preserve">test_tree_rollups_and_source_kind_split</t>
  </si>
  <si>
    <t xml:space="preserve">Tree/browse/changes/diff/runs/inventory endpoints; filter-before-LIMIT regression; manual add/update; multipart upload; fs jail</t>
  </si>
  <si>
    <t xml:space="preserve">tests/regagg/test_ui_endpoints.py::test_tree_rollups_and_source_kind_split</t>
  </si>
  <si>
    <t xml:space="preserve">ATC-67</t>
  </si>
  <si>
    <t xml:space="preserve">test_browse_facets_and_filter</t>
  </si>
  <si>
    <t xml:space="preserve">tests/regagg/test_ui_endpoints.py::test_browse_facets_and_filter</t>
  </si>
  <si>
    <t xml:space="preserve">ATC-68</t>
  </si>
  <si>
    <t xml:space="preserve">test_changes_feed_marks_revision</t>
  </si>
  <si>
    <t xml:space="preserve">tests/regagg/test_ui_endpoints.py::test_changes_feed_marks_revision</t>
  </si>
  <si>
    <t xml:space="preserve">ATC-69</t>
  </si>
  <si>
    <t xml:space="preserve">test_version_diff</t>
  </si>
  <si>
    <t xml:space="preserve">tests/regagg/test_ui_endpoints.py::test_version_diff</t>
  </si>
  <si>
    <t xml:space="preserve">ATC-70</t>
  </si>
  <si>
    <t xml:space="preserve">test_runs_overview_shape</t>
  </si>
  <si>
    <t xml:space="preserve">tests/regagg/test_ui_endpoints.py::test_runs_overview_shape</t>
  </si>
  <si>
    <t xml:space="preserve">ATC-71</t>
  </si>
  <si>
    <t xml:space="preserve">test_changes_filters</t>
  </si>
  <si>
    <t xml:space="preserve">tests/regagg/test_ui_endpoints.py::test_changes_filters</t>
  </si>
  <si>
    <t xml:space="preserve">ATC-72</t>
  </si>
  <si>
    <t xml:space="preserve">test_changes_filter_finds_older_institution_rows</t>
  </si>
  <si>
    <t xml:space="preserve">tests/regagg/test_ui_endpoints.py::test_changes_filter_finds_older_institution_rows</t>
  </si>
  <si>
    <t xml:space="preserve">ATC-73</t>
  </si>
  <si>
    <t xml:space="preserve">test_doc_content_endpoint</t>
  </si>
  <si>
    <t xml:space="preserve">tests/regagg/test_ui_endpoints.py::test_doc_content_endpoint</t>
  </si>
  <si>
    <t xml:space="preserve">ATC-74</t>
  </si>
  <si>
    <t xml:space="preserve">test_manual_document_interjection</t>
  </si>
  <si>
    <t xml:space="preserve">tests/regagg/test_ui_endpoints.py::test_manual_document_interjection</t>
  </si>
  <si>
    <t xml:space="preserve">ATC-75</t>
  </si>
  <si>
    <t xml:space="preserve">test_fs_explorer_listing_and_jail</t>
  </si>
  <si>
    <t xml:space="preserve">tests/regagg/test_ui_endpoints.py::test_fs_explorer_listing_and_jail</t>
  </si>
  <si>
    <t xml:space="preserve">ATC-76</t>
  </si>
  <si>
    <t xml:space="preserve">test_manual_upload_multipart</t>
  </si>
  <si>
    <t xml:space="preserve">tests/regagg/test_ui_endpoints.py::test_manual_upload_multipart</t>
  </si>
  <si>
    <t xml:space="preserve">ATC-77</t>
  </si>
  <si>
    <t xml:space="preserve">test_check_sitemap_pass</t>
  </si>
  <si>
    <t xml:space="preserve">Reachability/content-type/parse/freshness checks; sitemap-index; report rendering</t>
  </si>
  <si>
    <t xml:space="preserve">tests/regagg/test_verify_sources.py::test_check_sitemap_pass</t>
  </si>
  <si>
    <t xml:space="preserve">ATC-78</t>
  </si>
  <si>
    <t xml:space="preserve">test_check_sitemap_stale_warns</t>
  </si>
  <si>
    <t xml:space="preserve">tests/regagg/test_verify_sources.py::test_check_sitemap_stale_warns</t>
  </si>
  <si>
    <t xml:space="preserve">ATC-79</t>
  </si>
  <si>
    <t xml:space="preserve">test_check_wrong_content_type_fails</t>
  </si>
  <si>
    <t xml:space="preserve">tests/regagg/test_verify_sources.py::test_check_wrong_content_type_fails</t>
  </si>
  <si>
    <t xml:space="preserve">ATC-80</t>
  </si>
  <si>
    <t xml:space="preserve">test_check_unreachable_and_404</t>
  </si>
  <si>
    <t xml:space="preserve">tests/regagg/test_verify_sources.py::test_check_unreachable_and_404</t>
  </si>
  <si>
    <t xml:space="preserve">ATC-81</t>
  </si>
  <si>
    <t xml:space="preserve">test_check_feed_and_api_and_listing</t>
  </si>
  <si>
    <t xml:space="preserve">tests/regagg/test_verify_sources.py::test_check_feed_and_api_and_listing</t>
  </si>
  <si>
    <t xml:space="preserve">ATC-82</t>
  </si>
  <si>
    <t xml:space="preserve">test_verify_config_over_real_osfi_config</t>
  </si>
  <si>
    <t xml:space="preserve">tests/regagg/test_verify_sources.py::test_verify_config_over_real_osfi_config</t>
  </si>
  <si>
    <t xml:space="preserve">ATC-83</t>
  </si>
  <si>
    <t xml:space="preserve">REG-201/202/203</t>
  </si>
  <si>
    <t xml:space="preserve">Unit+Chaos</t>
  </si>
  <si>
    <t xml:space="preserve">test_create_then_update_archives_previous</t>
  </si>
  <si>
    <t xml:space="preserve">Atomic override→archive protocol; crash injected at every step; reconcile restores invariants with zero loss</t>
  </si>
  <si>
    <t xml:space="preserve">tests/regagg/test_versioning.py::test_create_then_update_archives_previous</t>
  </si>
  <si>
    <t xml:space="preserve">ATC-84</t>
  </si>
  <si>
    <t xml:space="preserve">test_unchanged_content_is_noop</t>
  </si>
  <si>
    <t xml:space="preserve">tests/regagg/test_versioning.py::test_unchanged_content_is_noop</t>
  </si>
  <si>
    <t xml:space="preserve">ATC-85</t>
  </si>
  <si>
    <t xml:space="preserve">test_documents_row_tracks_current</t>
  </si>
  <si>
    <t xml:space="preserve">tests/regagg/test_versioning.py::test_documents_row_tracks_current</t>
  </si>
  <si>
    <t xml:space="preserve">ATC-86</t>
  </si>
  <si>
    <t xml:space="preserve">test_crash_then_reconcile_restores_invariant</t>
  </si>
  <si>
    <t xml:space="preserve">tests/regagg/test_versioning.py::test_crash_then_reconcile_restores_invariant[1]</t>
  </si>
  <si>
    <t xml:space="preserve">ATC-87</t>
  </si>
  <si>
    <t xml:space="preserve">tests/regagg/test_versioning.py::test_crash_then_reconcile_restores_invariant[2]</t>
  </si>
  <si>
    <t xml:space="preserve">ATC-88</t>
  </si>
  <si>
    <t xml:space="preserve">tests/regagg/test_versioning.py::test_crash_then_reconcile_restores_invariant[3]</t>
  </si>
  <si>
    <t xml:space="preserve">ATC-89</t>
  </si>
  <si>
    <t xml:space="preserve">tests/regagg/test_versioning.py::test_crash_then_reconcile_restores_invariant[4]</t>
  </si>
  <si>
    <t xml:space="preserve">ATC-90</t>
  </si>
  <si>
    <t xml:space="preserve">tests/regagg/test_versioning.py::test_crash_then_reconcile_restores_invariant[5]</t>
  </si>
  <si>
    <t xml:space="preserve">ATC-91</t>
  </si>
  <si>
    <t xml:space="preserve">test_crash_after_step1_keeps_old_current_and_cleans_staging</t>
  </si>
  <si>
    <t xml:space="preserve">tests/regagg/test_versioning.py::test_crash_after_step1_keeps_old_current_and_cleans_staging</t>
  </si>
  <si>
    <t xml:space="preserve">ATC-92</t>
  </si>
  <si>
    <t xml:space="preserve">test_reconcile_is_idempotent</t>
  </si>
  <si>
    <t xml:space="preserve">tests/regagg/test_versioning.py::test_reconcile_is_idempotent</t>
  </si>
  <si>
    <t xml:space="preserve">MTC-01</t>
  </si>
  <si>
    <t xml:space="preserve">Security-Manual</t>
  </si>
  <si>
    <t xml:space="preserve">MCP auth matrix over the wire</t>
  </si>
  <si>
    <t xml:space="preserve">No key→401; disabled key→401; valid key + reg tool→200; valid key + out-of-scope tool→denied (-32001)</t>
  </si>
  <si>
    <t xml:space="preserve">curl matrix 2026-08-04</t>
  </si>
  <si>
    <t xml:space="preserve">MTC-02</t>
  </si>
  <si>
    <t xml:space="preserve">API key rotation</t>
  </si>
  <si>
    <t xml:space="preserve">Old key dead everywhere; new DB-only key works; committed copy scrubbed before repo publication</t>
  </si>
  <si>
    <t xml:space="preserve">rotation 2026-08-03</t>
  </si>
  <si>
    <t xml:space="preserve">MTC-03</t>
  </si>
  <si>
    <t xml:space="preserve">Connection-pool endurance</t>
  </si>
  <si>
    <t xml:space="preserve">30 rapid API calls with 5s-polling load; no pool exhaustion</t>
  </si>
  <si>
    <t xml:space="preserve">hammer test post thread-scoped sessions</t>
  </si>
  <si>
    <t xml:space="preserve">MTC-04</t>
  </si>
  <si>
    <t xml:space="preserve">System</t>
  </si>
  <si>
    <t xml:space="preserve">OSFI completeness reconciliation</t>
  </si>
  <si>
    <t xml:space="preserve">Inventory reports 30/30 (CAR 9/9, LAR 5/5, B 8/8, E 8/8) after guidance gap-fill</t>
  </si>
  <si>
    <t xml:space="preserve">/inventory/osfi</t>
  </si>
  <si>
    <t xml:space="preserve">MTC-05</t>
  </si>
  <si>
    <t xml:space="preserve">REG-307/408</t>
  </si>
  <si>
    <t xml:space="preserve">Live fleet collection</t>
  </si>
  <si>
    <t xml:space="preserve">29/30 regulators verified and collecting; ~5,970 docs; per-regulator coverage % reported</t>
  </si>
  <si>
    <t xml:space="preserve">live crawls 2026-08-02..04</t>
  </si>
  <si>
    <t xml:space="preserve">MTC-06</t>
  </si>
  <si>
    <t xml:space="preserve">FedReg fallback chain</t>
  </si>
  <si>
    <t xml:space="preserve">All ~500 FR docs carry abstract or labeled stub; content_source in provenance; zero error storm</t>
  </si>
  <si>
    <t xml:space="preserve">fedreg re-ingests</t>
  </si>
  <si>
    <t xml:space="preserve">MTC-07</t>
  </si>
  <si>
    <t xml:space="preserve">Backup + restore check</t>
  </si>
  <si>
    <t xml:space="preserve">Consistent snapshot while live; restored DB opens with full doc count; retention pruning</t>
  </si>
  <si>
    <t xml:space="preserve">2.0GB backup restore-check</t>
  </si>
  <si>
    <t xml:space="preserve">MTC-08</t>
  </si>
  <si>
    <t xml:space="preserve">Live update→archive</t>
  </si>
  <si>
    <t xml:space="preserve">Real revised pages produce v2 with prior version archived and diff viewable</t>
  </si>
  <si>
    <t xml:space="preserve">6 live revisions (frb/boe_pra/fca)</t>
  </si>
  <si>
    <t xml:space="preserve">MTC-09</t>
  </si>
  <si>
    <t xml:space="preserve">REG-402..404</t>
  </si>
  <si>
    <t xml:space="preserve">UAT-Manual</t>
  </si>
  <si>
    <t xml:space="preserve">Dashboard smoke on live data</t>
  </si>
  <si>
    <t xml:space="preserve">All 5 pages render live corpus; drill-downs, drawer, diff, rerun guard behave</t>
  </si>
  <si>
    <t xml:space="preserve">browser walkthroughs</t>
  </si>
  <si>
    <t xml:space="preserve">MTC-10</t>
  </si>
  <si>
    <t xml:space="preserve">Manual lane end-to-end</t>
  </si>
  <si>
    <t xml:space="preserve">URL-fetch, pasted-markdown, and PDF-upload paths create/version docs with manual tag + audit</t>
  </si>
  <si>
    <t xml:space="preserve">API+UI verification</t>
  </si>
  <si>
    <t xml:space="preserve">MTC-11</t>
  </si>
  <si>
    <t xml:space="preserve">Projection integrity</t>
  </si>
  <si>
    <t xml:space="preserve">5,957 projection files match current corpus; frontmatter valid; resync idempotent</t>
  </si>
  <si>
    <t xml:space="preserve">resync report</t>
  </si>
  <si>
    <t xml:space="preserve">MTC-12</t>
  </si>
  <si>
    <t xml:space="preserve">Concurrent-run guard</t>
  </si>
  <si>
    <t xml:space="preserve">Second fleet trigger refused while a run is active</t>
  </si>
  <si>
    <t xml:space="preserve">live rerun attempt</t>
  </si>
  <si>
    <t xml:space="preserve">MTC-13</t>
  </si>
  <si>
    <t xml:space="preserve">Gate</t>
  </si>
  <si>
    <t xml:space="preserve">Foundation gate</t>
  </si>
  <si>
    <t xml:space="preserve">30/30 configs parse; taxonomy sync; 9 tables register/create</t>
  </si>
  <si>
    <t xml:space="preserve">regagg_verify_foundation.py</t>
  </si>
  <si>
    <t xml:space="preserve">MTC-14</t>
  </si>
  <si>
    <t xml:space="preserve">Agent citation eval (20 questions)</t>
  </si>
  <si>
    <t xml:space="preserve">Every answer cites regulator+reference+date+URL; declines out-of-corpus</t>
  </si>
  <si>
    <t xml:space="preserve">Not Run</t>
  </si>
  <si>
    <t xml:space="preserve">awaiting owner agent stack</t>
  </si>
  <si>
    <t xml:space="preserve">Execution Summary</t>
  </si>
  <si>
    <t xml:space="preserve">Total stories</t>
  </si>
  <si>
    <t xml:space="preserve">Not started</t>
  </si>
  <si>
    <t xml:space="preserve">Story points — Done</t>
  </si>
  <si>
    <t xml:space="preserve">Story points — total (incl. backlog)</t>
  </si>
  <si>
    <t xml:space="preserve">Automated test cases (Pass)</t>
  </si>
  <si>
    <t xml:space="preserve">Manual/system verifications (Pass)</t>
  </si>
  <si>
    <t xml:space="preserve">Pending verifications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</si>
</sst>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34"/>
    <col collapsed="false" customWidth="true" hidden="false" outlineLevel="0" max="7" min="6" style="0" width="50"/>
    <col collapsed="false" customWidth="true" hidden="false" outlineLevel="0" max="8" min="8" style="0" width="7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n">
        <v>3</v>
      </c>
      <c r="I2" s="2" t="s">
        <v>18</v>
      </c>
      <c r="J2" s="2" t="s">
        <v>19</v>
      </c>
      <c r="K2" s="2" t="s">
        <v>20</v>
      </c>
    </row>
    <row r="3" customFormat="false" ht="35.05" hidden="false" customHeight="false" outlineLevel="0" collapsed="false">
      <c r="A3" s="2" t="s">
        <v>21</v>
      </c>
      <c r="B3" s="2" t="s">
        <v>12</v>
      </c>
      <c r="C3" s="2" t="s">
        <v>13</v>
      </c>
      <c r="D3" s="2" t="s">
        <v>14</v>
      </c>
      <c r="E3" s="2" t="s">
        <v>22</v>
      </c>
      <c r="F3" s="2" t="s">
        <v>23</v>
      </c>
      <c r="G3" s="2" t="s">
        <v>24</v>
      </c>
      <c r="H3" s="2" t="n">
        <v>5</v>
      </c>
      <c r="I3" s="2" t="s">
        <v>18</v>
      </c>
      <c r="J3" s="2" t="s">
        <v>19</v>
      </c>
      <c r="K3" s="2" t="s">
        <v>25</v>
      </c>
    </row>
    <row r="4" customFormat="false" ht="23.85" hidden="false" customHeight="false" outlineLevel="0" collapsed="false">
      <c r="A4" s="2" t="s">
        <v>26</v>
      </c>
      <c r="B4" s="2" t="s">
        <v>12</v>
      </c>
      <c r="C4" s="2" t="s">
        <v>13</v>
      </c>
      <c r="D4" s="2" t="s">
        <v>14</v>
      </c>
      <c r="E4" s="2" t="s">
        <v>27</v>
      </c>
      <c r="F4" s="2" t="s">
        <v>28</v>
      </c>
      <c r="G4" s="2" t="s">
        <v>29</v>
      </c>
      <c r="H4" s="2" t="n">
        <v>3</v>
      </c>
      <c r="I4" s="2" t="s">
        <v>18</v>
      </c>
      <c r="J4" s="2" t="s">
        <v>19</v>
      </c>
      <c r="K4" s="2" t="s">
        <v>30</v>
      </c>
    </row>
    <row r="5" customFormat="false" ht="46.25" hidden="false" customHeight="false" outlineLevel="0" collapsed="false">
      <c r="A5" s="2" t="s">
        <v>31</v>
      </c>
      <c r="B5" s="2" t="s">
        <v>12</v>
      </c>
      <c r="C5" s="2" t="s">
        <v>13</v>
      </c>
      <c r="D5" s="2" t="s">
        <v>14</v>
      </c>
      <c r="E5" s="2" t="s">
        <v>32</v>
      </c>
      <c r="F5" s="2" t="s">
        <v>33</v>
      </c>
      <c r="G5" s="2" t="s">
        <v>34</v>
      </c>
      <c r="H5" s="2" t="n">
        <v>5</v>
      </c>
      <c r="I5" s="2" t="s">
        <v>18</v>
      </c>
      <c r="J5" s="2" t="s">
        <v>19</v>
      </c>
      <c r="K5" s="2" t="s">
        <v>35</v>
      </c>
    </row>
    <row r="6" customFormat="false" ht="35.05" hidden="false" customHeight="false" outlineLevel="0" collapsed="false">
      <c r="A6" s="2" t="s">
        <v>36</v>
      </c>
      <c r="B6" s="2" t="s">
        <v>12</v>
      </c>
      <c r="C6" s="2" t="s">
        <v>13</v>
      </c>
      <c r="D6" s="2" t="s">
        <v>14</v>
      </c>
      <c r="E6" s="2" t="s">
        <v>37</v>
      </c>
      <c r="F6" s="2" t="s">
        <v>38</v>
      </c>
      <c r="G6" s="2" t="s">
        <v>39</v>
      </c>
      <c r="H6" s="2" t="n">
        <v>3</v>
      </c>
      <c r="I6" s="2" t="s">
        <v>40</v>
      </c>
      <c r="J6" s="2" t="s">
        <v>19</v>
      </c>
      <c r="K6" s="2" t="s">
        <v>41</v>
      </c>
    </row>
    <row r="7" customFormat="false" ht="23.85" hidden="false" customHeight="false" outlineLevel="0" collapsed="false">
      <c r="A7" s="2" t="s">
        <v>42</v>
      </c>
      <c r="B7" s="2" t="s">
        <v>12</v>
      </c>
      <c r="C7" s="2" t="s">
        <v>13</v>
      </c>
      <c r="D7" s="2" t="s">
        <v>14</v>
      </c>
      <c r="E7" s="2" t="s">
        <v>43</v>
      </c>
      <c r="F7" s="2" t="s">
        <v>44</v>
      </c>
      <c r="G7" s="2" t="s">
        <v>45</v>
      </c>
      <c r="H7" s="2" t="n">
        <v>2</v>
      </c>
      <c r="I7" s="2" t="s">
        <v>18</v>
      </c>
      <c r="J7" s="2" t="s">
        <v>19</v>
      </c>
      <c r="K7" s="2" t="s">
        <v>46</v>
      </c>
    </row>
    <row r="8" customFormat="false" ht="35.05" hidden="false" customHeight="false" outlineLevel="0" collapsed="false">
      <c r="A8" s="2" t="s">
        <v>47</v>
      </c>
      <c r="B8" s="2" t="s">
        <v>48</v>
      </c>
      <c r="C8" s="2" t="s">
        <v>49</v>
      </c>
      <c r="D8" s="2" t="s">
        <v>14</v>
      </c>
      <c r="E8" s="2" t="s">
        <v>50</v>
      </c>
      <c r="F8" s="2" t="s">
        <v>51</v>
      </c>
      <c r="G8" s="2" t="s">
        <v>52</v>
      </c>
      <c r="H8" s="2" t="n">
        <v>5</v>
      </c>
      <c r="I8" s="2" t="s">
        <v>53</v>
      </c>
      <c r="J8" s="2" t="s">
        <v>19</v>
      </c>
      <c r="K8" s="2" t="s">
        <v>54</v>
      </c>
    </row>
    <row r="9" customFormat="false" ht="23.85" hidden="false" customHeight="false" outlineLevel="0" collapsed="false">
      <c r="A9" s="2" t="s">
        <v>55</v>
      </c>
      <c r="B9" s="2" t="s">
        <v>48</v>
      </c>
      <c r="C9" s="2" t="s">
        <v>49</v>
      </c>
      <c r="D9" s="2" t="s">
        <v>14</v>
      </c>
      <c r="E9" s="2" t="s">
        <v>56</v>
      </c>
      <c r="F9" s="2" t="s">
        <v>57</v>
      </c>
      <c r="G9" s="2" t="s">
        <v>58</v>
      </c>
      <c r="H9" s="2" t="n">
        <v>3</v>
      </c>
      <c r="I9" s="2" t="s">
        <v>53</v>
      </c>
      <c r="J9" s="2" t="s">
        <v>19</v>
      </c>
      <c r="K9" s="2" t="s">
        <v>59</v>
      </c>
    </row>
    <row r="10" customFormat="false" ht="23.85" hidden="false" customHeight="false" outlineLevel="0" collapsed="false">
      <c r="A10" s="2" t="s">
        <v>60</v>
      </c>
      <c r="B10" s="2" t="s">
        <v>12</v>
      </c>
      <c r="C10" s="2" t="s">
        <v>13</v>
      </c>
      <c r="D10" s="2" t="s">
        <v>14</v>
      </c>
      <c r="E10" s="2" t="s">
        <v>61</v>
      </c>
      <c r="F10" s="2" t="s">
        <v>62</v>
      </c>
      <c r="G10" s="2" t="s">
        <v>63</v>
      </c>
      <c r="H10" s="2" t="n">
        <v>2</v>
      </c>
      <c r="I10" s="2" t="s">
        <v>64</v>
      </c>
      <c r="J10" s="2" t="s">
        <v>19</v>
      </c>
      <c r="K10" s="2" t="s">
        <v>65</v>
      </c>
    </row>
    <row r="11" customFormat="false" ht="23.85" hidden="false" customHeight="false" outlineLevel="0" collapsed="false">
      <c r="A11" s="2" t="s">
        <v>66</v>
      </c>
      <c r="B11" s="2" t="s">
        <v>12</v>
      </c>
      <c r="C11" s="2" t="s">
        <v>13</v>
      </c>
      <c r="D11" s="2" t="s">
        <v>14</v>
      </c>
      <c r="E11" s="2" t="s">
        <v>67</v>
      </c>
      <c r="F11" s="2" t="s">
        <v>68</v>
      </c>
      <c r="G11" s="2" t="s">
        <v>69</v>
      </c>
      <c r="H11" s="2" t="n">
        <v>0</v>
      </c>
      <c r="I11" s="2" t="s">
        <v>70</v>
      </c>
      <c r="J11" s="2" t="s">
        <v>19</v>
      </c>
      <c r="K11" s="2" t="s">
        <v>71</v>
      </c>
    </row>
    <row r="12" customFormat="false" ht="35.05" hidden="false" customHeight="false" outlineLevel="0" collapsed="false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 t="n">
        <v>8</v>
      </c>
      <c r="I12" s="2" t="s">
        <v>18</v>
      </c>
      <c r="J12" s="2" t="s">
        <v>19</v>
      </c>
      <c r="K12" s="2" t="s">
        <v>79</v>
      </c>
    </row>
    <row r="13" customFormat="false" ht="35.05" hidden="false" customHeight="false" outlineLevel="0" collapsed="false">
      <c r="A13" s="2" t="s">
        <v>80</v>
      </c>
      <c r="B13" s="2" t="s">
        <v>73</v>
      </c>
      <c r="C13" s="2" t="s">
        <v>74</v>
      </c>
      <c r="D13" s="2" t="s">
        <v>75</v>
      </c>
      <c r="E13" s="2" t="s">
        <v>81</v>
      </c>
      <c r="F13" s="2" t="s">
        <v>82</v>
      </c>
      <c r="G13" s="2" t="s">
        <v>83</v>
      </c>
      <c r="H13" s="2" t="n">
        <v>5</v>
      </c>
      <c r="I13" s="2" t="s">
        <v>18</v>
      </c>
      <c r="J13" s="2" t="s">
        <v>19</v>
      </c>
      <c r="K13" s="2" t="s">
        <v>84</v>
      </c>
    </row>
    <row r="14" customFormat="false" ht="23.85" hidden="false" customHeight="false" outlineLevel="0" collapsed="false">
      <c r="A14" s="2" t="s">
        <v>85</v>
      </c>
      <c r="B14" s="2" t="s">
        <v>73</v>
      </c>
      <c r="C14" s="2" t="s">
        <v>74</v>
      </c>
      <c r="D14" s="2" t="s">
        <v>75</v>
      </c>
      <c r="E14" s="2" t="s">
        <v>86</v>
      </c>
      <c r="F14" s="2" t="s">
        <v>87</v>
      </c>
      <c r="G14" s="2" t="s">
        <v>88</v>
      </c>
      <c r="H14" s="2" t="n">
        <v>3</v>
      </c>
      <c r="I14" s="2" t="s">
        <v>18</v>
      </c>
      <c r="J14" s="2" t="s">
        <v>19</v>
      </c>
      <c r="K14" s="2" t="s">
        <v>89</v>
      </c>
    </row>
    <row r="15" customFormat="false" ht="35.05" hidden="false" customHeight="false" outlineLevel="0" collapsed="false">
      <c r="A15" s="2" t="s">
        <v>90</v>
      </c>
      <c r="B15" s="2" t="s">
        <v>91</v>
      </c>
      <c r="C15" s="2" t="s">
        <v>92</v>
      </c>
      <c r="D15" s="2" t="s">
        <v>75</v>
      </c>
      <c r="E15" s="2" t="s">
        <v>93</v>
      </c>
      <c r="F15" s="2" t="s">
        <v>94</v>
      </c>
      <c r="G15" s="2" t="s">
        <v>95</v>
      </c>
      <c r="H15" s="2" t="n">
        <v>5</v>
      </c>
      <c r="I15" s="2" t="s">
        <v>53</v>
      </c>
      <c r="J15" s="2" t="s">
        <v>19</v>
      </c>
      <c r="K15" s="2" t="s">
        <v>96</v>
      </c>
    </row>
    <row r="16" customFormat="false" ht="23.85" hidden="false" customHeight="false" outlineLevel="0" collapsed="false">
      <c r="A16" s="2" t="s">
        <v>97</v>
      </c>
      <c r="B16" s="2" t="s">
        <v>91</v>
      </c>
      <c r="C16" s="2" t="s">
        <v>92</v>
      </c>
      <c r="D16" s="2" t="s">
        <v>75</v>
      </c>
      <c r="E16" s="2" t="s">
        <v>98</v>
      </c>
      <c r="F16" s="2" t="s">
        <v>99</v>
      </c>
      <c r="G16" s="2" t="s">
        <v>100</v>
      </c>
      <c r="H16" s="2" t="n">
        <v>3</v>
      </c>
      <c r="I16" s="2" t="s">
        <v>53</v>
      </c>
      <c r="J16" s="2" t="s">
        <v>19</v>
      </c>
      <c r="K16" s="2" t="s">
        <v>101</v>
      </c>
    </row>
    <row r="17" customFormat="false" ht="35.05" hidden="false" customHeight="false" outlineLevel="0" collapsed="false">
      <c r="A17" s="2" t="s">
        <v>102</v>
      </c>
      <c r="B17" s="2" t="s">
        <v>91</v>
      </c>
      <c r="C17" s="2" t="s">
        <v>92</v>
      </c>
      <c r="D17" s="2" t="s">
        <v>75</v>
      </c>
      <c r="E17" s="2" t="s">
        <v>103</v>
      </c>
      <c r="F17" s="2" t="s">
        <v>104</v>
      </c>
      <c r="G17" s="2" t="s">
        <v>105</v>
      </c>
      <c r="H17" s="2" t="n">
        <v>5</v>
      </c>
      <c r="I17" s="2" t="s">
        <v>53</v>
      </c>
      <c r="J17" s="2" t="s">
        <v>19</v>
      </c>
      <c r="K17" s="2" t="s">
        <v>106</v>
      </c>
    </row>
    <row r="18" customFormat="false" ht="46.25" hidden="false" customHeight="false" outlineLevel="0" collapsed="false">
      <c r="A18" s="2" t="s">
        <v>107</v>
      </c>
      <c r="B18" s="2" t="s">
        <v>91</v>
      </c>
      <c r="C18" s="2" t="s">
        <v>92</v>
      </c>
      <c r="D18" s="2" t="s">
        <v>75</v>
      </c>
      <c r="E18" s="2" t="s">
        <v>108</v>
      </c>
      <c r="F18" s="2" t="s">
        <v>109</v>
      </c>
      <c r="G18" s="2" t="s">
        <v>110</v>
      </c>
      <c r="H18" s="2" t="n">
        <v>5</v>
      </c>
      <c r="I18" s="2" t="s">
        <v>40</v>
      </c>
      <c r="J18" s="2" t="s">
        <v>19</v>
      </c>
      <c r="K18" s="2" t="s">
        <v>111</v>
      </c>
    </row>
    <row r="19" customFormat="false" ht="35.05" hidden="false" customHeight="false" outlineLevel="0" collapsed="false">
      <c r="A19" s="2" t="s">
        <v>112</v>
      </c>
      <c r="B19" s="2" t="s">
        <v>73</v>
      </c>
      <c r="C19" s="2" t="s">
        <v>74</v>
      </c>
      <c r="D19" s="2" t="s">
        <v>75</v>
      </c>
      <c r="E19" s="2" t="s">
        <v>113</v>
      </c>
      <c r="F19" s="2" t="s">
        <v>114</v>
      </c>
      <c r="G19" s="2" t="s">
        <v>115</v>
      </c>
      <c r="H19" s="2" t="n">
        <v>2</v>
      </c>
      <c r="I19" s="2" t="s">
        <v>64</v>
      </c>
      <c r="J19" s="2" t="s">
        <v>19</v>
      </c>
      <c r="K19" s="2" t="s">
        <v>116</v>
      </c>
    </row>
    <row r="20" customFormat="false" ht="23.85" hidden="false" customHeight="false" outlineLevel="0" collapsed="false">
      <c r="A20" s="2" t="s">
        <v>117</v>
      </c>
      <c r="B20" s="2" t="s">
        <v>118</v>
      </c>
      <c r="C20" s="2" t="s">
        <v>119</v>
      </c>
      <c r="D20" s="2" t="s">
        <v>75</v>
      </c>
      <c r="E20" s="2" t="s">
        <v>120</v>
      </c>
      <c r="F20" s="2" t="s">
        <v>121</v>
      </c>
      <c r="G20" s="2" t="s">
        <v>122</v>
      </c>
      <c r="H20" s="2" t="n">
        <v>0</v>
      </c>
      <c r="I20" s="2" t="s">
        <v>70</v>
      </c>
      <c r="J20" s="2" t="s">
        <v>19</v>
      </c>
      <c r="K20" s="2" t="s">
        <v>71</v>
      </c>
    </row>
    <row r="21" customFormat="false" ht="35.05" hidden="false" customHeight="false" outlineLevel="0" collapsed="false">
      <c r="A21" s="2" t="s">
        <v>123</v>
      </c>
      <c r="B21" s="2" t="s">
        <v>91</v>
      </c>
      <c r="C21" s="2" t="s">
        <v>92</v>
      </c>
      <c r="D21" s="2" t="s">
        <v>124</v>
      </c>
      <c r="E21" s="2" t="s">
        <v>125</v>
      </c>
      <c r="F21" s="2" t="s">
        <v>126</v>
      </c>
      <c r="G21" s="2" t="s">
        <v>127</v>
      </c>
      <c r="H21" s="2" t="n">
        <v>8</v>
      </c>
      <c r="I21" s="2" t="s">
        <v>18</v>
      </c>
      <c r="J21" s="2" t="s">
        <v>19</v>
      </c>
      <c r="K21" s="2" t="s">
        <v>128</v>
      </c>
    </row>
    <row r="22" customFormat="false" ht="35.05" hidden="false" customHeight="false" outlineLevel="0" collapsed="false">
      <c r="A22" s="2" t="s">
        <v>129</v>
      </c>
      <c r="B22" s="2" t="s">
        <v>91</v>
      </c>
      <c r="C22" s="2" t="s">
        <v>92</v>
      </c>
      <c r="D22" s="2" t="s">
        <v>124</v>
      </c>
      <c r="E22" s="2" t="s">
        <v>130</v>
      </c>
      <c r="F22" s="2" t="s">
        <v>131</v>
      </c>
      <c r="G22" s="2" t="s">
        <v>132</v>
      </c>
      <c r="H22" s="2" t="n">
        <v>3</v>
      </c>
      <c r="I22" s="2" t="s">
        <v>53</v>
      </c>
      <c r="J22" s="2" t="s">
        <v>19</v>
      </c>
      <c r="K22" s="2" t="s">
        <v>133</v>
      </c>
    </row>
    <row r="23" customFormat="false" ht="35.05" hidden="false" customHeight="false" outlineLevel="0" collapsed="false">
      <c r="A23" s="2" t="s">
        <v>134</v>
      </c>
      <c r="B23" s="2" t="s">
        <v>91</v>
      </c>
      <c r="C23" s="2" t="s">
        <v>92</v>
      </c>
      <c r="D23" s="2" t="s">
        <v>124</v>
      </c>
      <c r="E23" s="2" t="s">
        <v>135</v>
      </c>
      <c r="F23" s="2" t="s">
        <v>136</v>
      </c>
      <c r="G23" s="2" t="s">
        <v>137</v>
      </c>
      <c r="H23" s="2" t="n">
        <v>2</v>
      </c>
      <c r="I23" s="2" t="s">
        <v>53</v>
      </c>
      <c r="J23" s="2" t="s">
        <v>19</v>
      </c>
      <c r="K23" s="2" t="s">
        <v>138</v>
      </c>
    </row>
    <row r="24" customFormat="false" ht="35.05" hidden="false" customHeight="false" outlineLevel="0" collapsed="false">
      <c r="A24" s="2" t="s">
        <v>139</v>
      </c>
      <c r="B24" s="2" t="s">
        <v>118</v>
      </c>
      <c r="C24" s="2" t="s">
        <v>119</v>
      </c>
      <c r="D24" s="2" t="s">
        <v>124</v>
      </c>
      <c r="E24" s="2" t="s">
        <v>140</v>
      </c>
      <c r="F24" s="2" t="s">
        <v>141</v>
      </c>
      <c r="G24" s="2" t="s">
        <v>142</v>
      </c>
      <c r="H24" s="2" t="n">
        <v>5</v>
      </c>
      <c r="I24" s="2" t="s">
        <v>18</v>
      </c>
      <c r="J24" s="2" t="s">
        <v>19</v>
      </c>
      <c r="K24" s="2" t="s">
        <v>143</v>
      </c>
    </row>
    <row r="25" customFormat="false" ht="35.05" hidden="false" customHeight="false" outlineLevel="0" collapsed="false">
      <c r="A25" s="2" t="s">
        <v>144</v>
      </c>
      <c r="B25" s="2" t="s">
        <v>118</v>
      </c>
      <c r="C25" s="2" t="s">
        <v>119</v>
      </c>
      <c r="D25" s="2" t="s">
        <v>124</v>
      </c>
      <c r="E25" s="2" t="s">
        <v>145</v>
      </c>
      <c r="F25" s="2" t="s">
        <v>146</v>
      </c>
      <c r="G25" s="2" t="s">
        <v>147</v>
      </c>
      <c r="H25" s="2" t="n">
        <v>3</v>
      </c>
      <c r="I25" s="2" t="s">
        <v>18</v>
      </c>
      <c r="J25" s="2" t="s">
        <v>19</v>
      </c>
      <c r="K25" s="2" t="s">
        <v>148</v>
      </c>
    </row>
    <row r="26" customFormat="false" ht="23.85" hidden="false" customHeight="false" outlineLevel="0" collapsed="false">
      <c r="A26" s="2" t="s">
        <v>149</v>
      </c>
      <c r="B26" s="2" t="s">
        <v>48</v>
      </c>
      <c r="C26" s="2" t="s">
        <v>49</v>
      </c>
      <c r="D26" s="2" t="s">
        <v>124</v>
      </c>
      <c r="E26" s="2" t="s">
        <v>150</v>
      </c>
      <c r="F26" s="2" t="s">
        <v>151</v>
      </c>
      <c r="G26" s="2" t="s">
        <v>152</v>
      </c>
      <c r="H26" s="2" t="n">
        <v>3</v>
      </c>
      <c r="I26" s="2" t="s">
        <v>53</v>
      </c>
      <c r="J26" s="2" t="s">
        <v>19</v>
      </c>
      <c r="K26" s="2" t="s">
        <v>153</v>
      </c>
    </row>
    <row r="27" customFormat="false" ht="23.85" hidden="false" customHeight="false" outlineLevel="0" collapsed="false">
      <c r="A27" s="2" t="s">
        <v>154</v>
      </c>
      <c r="B27" s="2" t="s">
        <v>48</v>
      </c>
      <c r="C27" s="2" t="s">
        <v>49</v>
      </c>
      <c r="D27" s="2" t="s">
        <v>124</v>
      </c>
      <c r="E27" s="2" t="s">
        <v>155</v>
      </c>
      <c r="F27" s="2" t="s">
        <v>156</v>
      </c>
      <c r="G27" s="2" t="s">
        <v>157</v>
      </c>
      <c r="H27" s="2" t="n">
        <v>5</v>
      </c>
      <c r="I27" s="2" t="s">
        <v>53</v>
      </c>
      <c r="J27" s="2" t="s">
        <v>19</v>
      </c>
      <c r="K27" s="2" t="s">
        <v>158</v>
      </c>
    </row>
    <row r="28" customFormat="false" ht="35.05" hidden="false" customHeight="false" outlineLevel="0" collapsed="false">
      <c r="A28" s="2" t="s">
        <v>159</v>
      </c>
      <c r="B28" s="2" t="s">
        <v>91</v>
      </c>
      <c r="C28" s="2" t="s">
        <v>92</v>
      </c>
      <c r="D28" s="2" t="s">
        <v>124</v>
      </c>
      <c r="E28" s="2" t="s">
        <v>160</v>
      </c>
      <c r="F28" s="2" t="s">
        <v>161</v>
      </c>
      <c r="G28" s="2" t="s">
        <v>162</v>
      </c>
      <c r="H28" s="2" t="n">
        <v>3</v>
      </c>
      <c r="I28" s="2" t="s">
        <v>40</v>
      </c>
      <c r="J28" s="2" t="s">
        <v>19</v>
      </c>
      <c r="K28" s="2" t="s">
        <v>163</v>
      </c>
    </row>
    <row r="29" customFormat="false" ht="46.25" hidden="false" customHeight="false" outlineLevel="0" collapsed="false">
      <c r="A29" s="2" t="s">
        <v>164</v>
      </c>
      <c r="B29" s="2" t="s">
        <v>118</v>
      </c>
      <c r="C29" s="2" t="s">
        <v>119</v>
      </c>
      <c r="D29" s="2" t="s">
        <v>124</v>
      </c>
      <c r="E29" s="2" t="s">
        <v>165</v>
      </c>
      <c r="F29" s="2" t="s">
        <v>166</v>
      </c>
      <c r="G29" s="2" t="s">
        <v>167</v>
      </c>
      <c r="H29" s="2" t="n">
        <v>2</v>
      </c>
      <c r="I29" s="2" t="s">
        <v>40</v>
      </c>
      <c r="J29" s="2" t="s">
        <v>19</v>
      </c>
      <c r="K29" s="2" t="s">
        <v>168</v>
      </c>
    </row>
    <row r="30" customFormat="false" ht="35.05" hidden="false" customHeight="false" outlineLevel="0" collapsed="false">
      <c r="A30" s="2" t="s">
        <v>169</v>
      </c>
      <c r="B30" s="2" t="s">
        <v>170</v>
      </c>
      <c r="C30" s="2" t="s">
        <v>171</v>
      </c>
      <c r="D30" s="2" t="s">
        <v>124</v>
      </c>
      <c r="E30" s="2" t="s">
        <v>172</v>
      </c>
      <c r="F30" s="2" t="s">
        <v>173</v>
      </c>
      <c r="G30" s="2" t="s">
        <v>174</v>
      </c>
      <c r="H30" s="2" t="n">
        <v>2</v>
      </c>
      <c r="I30" s="2" t="s">
        <v>64</v>
      </c>
      <c r="J30" s="2" t="s">
        <v>19</v>
      </c>
      <c r="K30" s="2" t="s">
        <v>175</v>
      </c>
    </row>
    <row r="31" customFormat="false" ht="23.85" hidden="false" customHeight="false" outlineLevel="0" collapsed="false">
      <c r="A31" s="2" t="s">
        <v>176</v>
      </c>
      <c r="B31" s="2" t="s">
        <v>118</v>
      </c>
      <c r="C31" s="2" t="s">
        <v>119</v>
      </c>
      <c r="D31" s="2" t="s">
        <v>124</v>
      </c>
      <c r="E31" s="2" t="s">
        <v>120</v>
      </c>
      <c r="F31" s="2" t="s">
        <v>121</v>
      </c>
      <c r="G31" s="2" t="s">
        <v>122</v>
      </c>
      <c r="H31" s="2" t="n">
        <v>0</v>
      </c>
      <c r="I31" s="2" t="s">
        <v>70</v>
      </c>
      <c r="J31" s="2" t="s">
        <v>19</v>
      </c>
      <c r="K31" s="2" t="s">
        <v>71</v>
      </c>
    </row>
    <row r="32" customFormat="false" ht="35.05" hidden="false" customHeight="false" outlineLevel="0" collapsed="false">
      <c r="A32" s="2" t="s">
        <v>177</v>
      </c>
      <c r="B32" s="2" t="s">
        <v>170</v>
      </c>
      <c r="C32" s="2" t="s">
        <v>171</v>
      </c>
      <c r="D32" s="2" t="s">
        <v>178</v>
      </c>
      <c r="E32" s="2" t="s">
        <v>179</v>
      </c>
      <c r="F32" s="2" t="s">
        <v>180</v>
      </c>
      <c r="G32" s="2" t="s">
        <v>181</v>
      </c>
      <c r="H32" s="2" t="n">
        <v>5</v>
      </c>
      <c r="I32" s="2" t="s">
        <v>18</v>
      </c>
      <c r="J32" s="2" t="s">
        <v>19</v>
      </c>
      <c r="K32" s="2" t="s">
        <v>182</v>
      </c>
    </row>
    <row r="33" customFormat="false" ht="35.05" hidden="false" customHeight="false" outlineLevel="0" collapsed="false">
      <c r="A33" s="2" t="s">
        <v>183</v>
      </c>
      <c r="B33" s="2" t="s">
        <v>170</v>
      </c>
      <c r="C33" s="2" t="s">
        <v>171</v>
      </c>
      <c r="D33" s="2" t="s">
        <v>178</v>
      </c>
      <c r="E33" s="2" t="s">
        <v>184</v>
      </c>
      <c r="F33" s="2" t="s">
        <v>185</v>
      </c>
      <c r="G33" s="2" t="s">
        <v>186</v>
      </c>
      <c r="H33" s="2" t="n">
        <v>5</v>
      </c>
      <c r="I33" s="2" t="s">
        <v>40</v>
      </c>
      <c r="J33" s="2" t="s">
        <v>19</v>
      </c>
      <c r="K33" s="2" t="s">
        <v>187</v>
      </c>
    </row>
    <row r="34" customFormat="false" ht="46.25" hidden="false" customHeight="false" outlineLevel="0" collapsed="false">
      <c r="A34" s="2" t="s">
        <v>188</v>
      </c>
      <c r="B34" s="2" t="s">
        <v>170</v>
      </c>
      <c r="C34" s="2" t="s">
        <v>171</v>
      </c>
      <c r="D34" s="2" t="s">
        <v>178</v>
      </c>
      <c r="E34" s="2" t="s">
        <v>189</v>
      </c>
      <c r="F34" s="2" t="s">
        <v>190</v>
      </c>
      <c r="G34" s="2" t="s">
        <v>191</v>
      </c>
      <c r="H34" s="2" t="n">
        <v>5</v>
      </c>
      <c r="I34" s="2" t="s">
        <v>40</v>
      </c>
      <c r="J34" s="2" t="s">
        <v>19</v>
      </c>
      <c r="K34" s="2" t="s">
        <v>192</v>
      </c>
    </row>
    <row r="35" customFormat="false" ht="35.05" hidden="false" customHeight="false" outlineLevel="0" collapsed="false">
      <c r="A35" s="2" t="s">
        <v>193</v>
      </c>
      <c r="B35" s="2" t="s">
        <v>170</v>
      </c>
      <c r="C35" s="2" t="s">
        <v>171</v>
      </c>
      <c r="D35" s="2" t="s">
        <v>178</v>
      </c>
      <c r="E35" s="2" t="s">
        <v>194</v>
      </c>
      <c r="F35" s="2" t="s">
        <v>195</v>
      </c>
      <c r="G35" s="2" t="s">
        <v>196</v>
      </c>
      <c r="H35" s="2" t="n">
        <v>3</v>
      </c>
      <c r="I35" s="2" t="s">
        <v>40</v>
      </c>
      <c r="J35" s="2" t="s">
        <v>19</v>
      </c>
      <c r="K35" s="2" t="s">
        <v>197</v>
      </c>
    </row>
    <row r="36" customFormat="false" ht="57.45" hidden="false" customHeight="false" outlineLevel="0" collapsed="false">
      <c r="A36" s="2" t="s">
        <v>198</v>
      </c>
      <c r="B36" s="2" t="s">
        <v>199</v>
      </c>
      <c r="C36" s="2" t="s">
        <v>200</v>
      </c>
      <c r="D36" s="2" t="s">
        <v>178</v>
      </c>
      <c r="E36" s="2" t="s">
        <v>201</v>
      </c>
      <c r="F36" s="2" t="s">
        <v>202</v>
      </c>
      <c r="G36" s="2" t="s">
        <v>203</v>
      </c>
      <c r="H36" s="2" t="n">
        <v>5</v>
      </c>
      <c r="I36" s="2" t="s">
        <v>53</v>
      </c>
      <c r="J36" s="2" t="s">
        <v>19</v>
      </c>
      <c r="K36" s="2" t="s">
        <v>204</v>
      </c>
    </row>
    <row r="37" customFormat="false" ht="35.05" hidden="false" customHeight="false" outlineLevel="0" collapsed="false">
      <c r="A37" s="2" t="s">
        <v>205</v>
      </c>
      <c r="B37" s="2" t="s">
        <v>199</v>
      </c>
      <c r="C37" s="2" t="s">
        <v>200</v>
      </c>
      <c r="D37" s="2" t="s">
        <v>178</v>
      </c>
      <c r="E37" s="2" t="s">
        <v>206</v>
      </c>
      <c r="F37" s="2" t="s">
        <v>207</v>
      </c>
      <c r="G37" s="2" t="s">
        <v>208</v>
      </c>
      <c r="H37" s="2" t="n">
        <v>3</v>
      </c>
      <c r="I37" s="2" t="s">
        <v>53</v>
      </c>
      <c r="J37" s="2" t="s">
        <v>19</v>
      </c>
      <c r="K37" s="2" t="s">
        <v>209</v>
      </c>
    </row>
    <row r="38" customFormat="false" ht="46.25" hidden="false" customHeight="false" outlineLevel="0" collapsed="false">
      <c r="A38" s="2" t="s">
        <v>210</v>
      </c>
      <c r="B38" s="2" t="s">
        <v>199</v>
      </c>
      <c r="C38" s="2" t="s">
        <v>200</v>
      </c>
      <c r="D38" s="2" t="s">
        <v>178</v>
      </c>
      <c r="E38" s="2" t="s">
        <v>211</v>
      </c>
      <c r="F38" s="2" t="s">
        <v>212</v>
      </c>
      <c r="G38" s="2" t="s">
        <v>213</v>
      </c>
      <c r="H38" s="2" t="n">
        <v>3</v>
      </c>
      <c r="I38" s="2" t="s">
        <v>53</v>
      </c>
      <c r="J38" s="2" t="s">
        <v>19</v>
      </c>
      <c r="K38" s="2" t="s">
        <v>214</v>
      </c>
    </row>
    <row r="39" customFormat="false" ht="46.25" hidden="false" customHeight="false" outlineLevel="0" collapsed="false">
      <c r="A39" s="2" t="s">
        <v>215</v>
      </c>
      <c r="B39" s="2" t="s">
        <v>48</v>
      </c>
      <c r="C39" s="2" t="s">
        <v>49</v>
      </c>
      <c r="D39" s="2" t="s">
        <v>178</v>
      </c>
      <c r="E39" s="2" t="s">
        <v>216</v>
      </c>
      <c r="F39" s="2" t="s">
        <v>217</v>
      </c>
      <c r="G39" s="2" t="s">
        <v>218</v>
      </c>
      <c r="H39" s="2" t="n">
        <v>3</v>
      </c>
      <c r="I39" s="2" t="s">
        <v>53</v>
      </c>
      <c r="J39" s="2" t="s">
        <v>19</v>
      </c>
      <c r="K39" s="2" t="s">
        <v>219</v>
      </c>
    </row>
    <row r="40" customFormat="false" ht="35.05" hidden="false" customHeight="false" outlineLevel="0" collapsed="false">
      <c r="A40" s="2" t="s">
        <v>220</v>
      </c>
      <c r="B40" s="2" t="s">
        <v>48</v>
      </c>
      <c r="C40" s="2" t="s">
        <v>49</v>
      </c>
      <c r="D40" s="2" t="s">
        <v>178</v>
      </c>
      <c r="E40" s="2" t="s">
        <v>221</v>
      </c>
      <c r="F40" s="2" t="s">
        <v>222</v>
      </c>
      <c r="G40" s="2" t="s">
        <v>223</v>
      </c>
      <c r="H40" s="2" t="n">
        <v>2</v>
      </c>
      <c r="I40" s="2" t="s">
        <v>18</v>
      </c>
      <c r="J40" s="2" t="s">
        <v>19</v>
      </c>
      <c r="K40" s="2" t="s">
        <v>224</v>
      </c>
    </row>
    <row r="41" customFormat="false" ht="35.05" hidden="false" customHeight="false" outlineLevel="0" collapsed="false">
      <c r="A41" s="2" t="s">
        <v>225</v>
      </c>
      <c r="B41" s="2" t="s">
        <v>170</v>
      </c>
      <c r="C41" s="2" t="s">
        <v>171</v>
      </c>
      <c r="D41" s="2" t="s">
        <v>178</v>
      </c>
      <c r="E41" s="2" t="s">
        <v>226</v>
      </c>
      <c r="F41" s="2" t="s">
        <v>227</v>
      </c>
      <c r="G41" s="2" t="s">
        <v>228</v>
      </c>
      <c r="H41" s="2" t="n">
        <v>2</v>
      </c>
      <c r="I41" s="2" t="s">
        <v>64</v>
      </c>
      <c r="J41" s="2" t="s">
        <v>229</v>
      </c>
      <c r="K41" s="2" t="s">
        <v>230</v>
      </c>
    </row>
    <row r="42" customFormat="false" ht="23.85" hidden="false" customHeight="false" outlineLevel="0" collapsed="false">
      <c r="A42" s="2" t="s">
        <v>231</v>
      </c>
      <c r="B42" s="2" t="s">
        <v>118</v>
      </c>
      <c r="C42" s="2" t="s">
        <v>119</v>
      </c>
      <c r="D42" s="2" t="s">
        <v>178</v>
      </c>
      <c r="E42" s="2" t="s">
        <v>120</v>
      </c>
      <c r="F42" s="2" t="s">
        <v>121</v>
      </c>
      <c r="G42" s="2" t="s">
        <v>122</v>
      </c>
      <c r="H42" s="2" t="n">
        <v>0</v>
      </c>
      <c r="I42" s="2" t="s">
        <v>70</v>
      </c>
      <c r="J42" s="2" t="s">
        <v>19</v>
      </c>
      <c r="K42" s="2" t="s">
        <v>71</v>
      </c>
    </row>
    <row r="43" customFormat="false" ht="46.25" hidden="false" customHeight="false" outlineLevel="0" collapsed="false">
      <c r="A43" s="2" t="s">
        <v>232</v>
      </c>
      <c r="B43" s="2" t="s">
        <v>170</v>
      </c>
      <c r="C43" s="2" t="s">
        <v>171</v>
      </c>
      <c r="D43" s="2" t="s">
        <v>233</v>
      </c>
      <c r="E43" s="2" t="s">
        <v>234</v>
      </c>
      <c r="F43" s="2" t="s">
        <v>235</v>
      </c>
      <c r="G43" s="2" t="s">
        <v>236</v>
      </c>
      <c r="H43" s="2" t="n">
        <v>3</v>
      </c>
      <c r="I43" s="2" t="s">
        <v>40</v>
      </c>
      <c r="J43" s="2" t="s">
        <v>19</v>
      </c>
      <c r="K43" s="2" t="s">
        <v>237</v>
      </c>
    </row>
    <row r="44" customFormat="false" ht="35.05" hidden="false" customHeight="false" outlineLevel="0" collapsed="false">
      <c r="A44" s="2" t="s">
        <v>238</v>
      </c>
      <c r="B44" s="2" t="s">
        <v>170</v>
      </c>
      <c r="C44" s="2" t="s">
        <v>171</v>
      </c>
      <c r="D44" s="2" t="s">
        <v>233</v>
      </c>
      <c r="E44" s="2" t="s">
        <v>239</v>
      </c>
      <c r="F44" s="2" t="s">
        <v>240</v>
      </c>
      <c r="G44" s="2" t="s">
        <v>241</v>
      </c>
      <c r="H44" s="2" t="n">
        <v>2</v>
      </c>
      <c r="I44" s="2" t="s">
        <v>40</v>
      </c>
      <c r="J44" s="2" t="s">
        <v>19</v>
      </c>
      <c r="K44" s="2" t="s">
        <v>242</v>
      </c>
    </row>
    <row r="45" customFormat="false" ht="46.25" hidden="false" customHeight="false" outlineLevel="0" collapsed="false">
      <c r="A45" s="2" t="s">
        <v>243</v>
      </c>
      <c r="B45" s="2" t="s">
        <v>170</v>
      </c>
      <c r="C45" s="2" t="s">
        <v>171</v>
      </c>
      <c r="D45" s="2" t="s">
        <v>233</v>
      </c>
      <c r="E45" s="2" t="s">
        <v>244</v>
      </c>
      <c r="F45" s="2" t="s">
        <v>245</v>
      </c>
      <c r="G45" s="2" t="s">
        <v>246</v>
      </c>
      <c r="H45" s="2" t="n">
        <v>3</v>
      </c>
      <c r="I45" s="2" t="s">
        <v>40</v>
      </c>
      <c r="J45" s="2" t="s">
        <v>19</v>
      </c>
      <c r="K45" s="2" t="s">
        <v>247</v>
      </c>
    </row>
    <row r="46" customFormat="false" ht="46.25" hidden="false" customHeight="false" outlineLevel="0" collapsed="false">
      <c r="A46" s="2" t="s">
        <v>248</v>
      </c>
      <c r="B46" s="2" t="s">
        <v>170</v>
      </c>
      <c r="C46" s="2" t="s">
        <v>171</v>
      </c>
      <c r="D46" s="2" t="s">
        <v>233</v>
      </c>
      <c r="E46" s="2" t="s">
        <v>249</v>
      </c>
      <c r="F46" s="2" t="s">
        <v>250</v>
      </c>
      <c r="G46" s="2" t="s">
        <v>251</v>
      </c>
      <c r="H46" s="2" t="n">
        <v>3</v>
      </c>
      <c r="I46" s="2" t="s">
        <v>40</v>
      </c>
      <c r="J46" s="2" t="s">
        <v>19</v>
      </c>
      <c r="K46" s="2" t="s">
        <v>252</v>
      </c>
    </row>
    <row r="47" customFormat="false" ht="46.25" hidden="false" customHeight="false" outlineLevel="0" collapsed="false">
      <c r="A47" s="2" t="s">
        <v>253</v>
      </c>
      <c r="B47" s="2" t="s">
        <v>118</v>
      </c>
      <c r="C47" s="2" t="s">
        <v>119</v>
      </c>
      <c r="D47" s="2" t="s">
        <v>233</v>
      </c>
      <c r="E47" s="2" t="s">
        <v>254</v>
      </c>
      <c r="F47" s="2" t="s">
        <v>255</v>
      </c>
      <c r="G47" s="2" t="s">
        <v>256</v>
      </c>
      <c r="H47" s="2" t="n">
        <v>5</v>
      </c>
      <c r="I47" s="2" t="s">
        <v>18</v>
      </c>
      <c r="J47" s="2" t="s">
        <v>19</v>
      </c>
      <c r="K47" s="2" t="s">
        <v>257</v>
      </c>
    </row>
    <row r="48" customFormat="false" ht="35.05" hidden="false" customHeight="false" outlineLevel="0" collapsed="false">
      <c r="A48" s="2" t="s">
        <v>258</v>
      </c>
      <c r="B48" s="2" t="s">
        <v>259</v>
      </c>
      <c r="C48" s="2" t="s">
        <v>260</v>
      </c>
      <c r="D48" s="2" t="s">
        <v>233</v>
      </c>
      <c r="E48" s="2" t="s">
        <v>261</v>
      </c>
      <c r="F48" s="2" t="s">
        <v>262</v>
      </c>
      <c r="G48" s="2" t="s">
        <v>263</v>
      </c>
      <c r="H48" s="2" t="n">
        <v>5</v>
      </c>
      <c r="I48" s="2" t="s">
        <v>53</v>
      </c>
      <c r="J48" s="2" t="s">
        <v>19</v>
      </c>
      <c r="K48" s="2" t="s">
        <v>264</v>
      </c>
    </row>
    <row r="49" customFormat="false" ht="46.25" hidden="false" customHeight="false" outlineLevel="0" collapsed="false">
      <c r="A49" s="2" t="s">
        <v>265</v>
      </c>
      <c r="B49" s="2" t="s">
        <v>259</v>
      </c>
      <c r="C49" s="2" t="s">
        <v>260</v>
      </c>
      <c r="D49" s="2" t="s">
        <v>233</v>
      </c>
      <c r="E49" s="2" t="s">
        <v>266</v>
      </c>
      <c r="F49" s="2" t="s">
        <v>267</v>
      </c>
      <c r="G49" s="2" t="s">
        <v>268</v>
      </c>
      <c r="H49" s="2" t="n">
        <v>5</v>
      </c>
      <c r="I49" s="2" t="s">
        <v>53</v>
      </c>
      <c r="J49" s="2" t="s">
        <v>19</v>
      </c>
      <c r="K49" s="2" t="s">
        <v>269</v>
      </c>
    </row>
    <row r="50" customFormat="false" ht="35.05" hidden="false" customHeight="false" outlineLevel="0" collapsed="false">
      <c r="A50" s="2" t="s">
        <v>270</v>
      </c>
      <c r="B50" s="2" t="s">
        <v>259</v>
      </c>
      <c r="C50" s="2" t="s">
        <v>260</v>
      </c>
      <c r="D50" s="2" t="s">
        <v>233</v>
      </c>
      <c r="E50" s="2" t="s">
        <v>271</v>
      </c>
      <c r="F50" s="2" t="s">
        <v>272</v>
      </c>
      <c r="G50" s="2" t="s">
        <v>273</v>
      </c>
      <c r="H50" s="2" t="n">
        <v>5</v>
      </c>
      <c r="I50" s="2" t="s">
        <v>18</v>
      </c>
      <c r="J50" s="2" t="s">
        <v>19</v>
      </c>
      <c r="K50" s="2" t="s">
        <v>274</v>
      </c>
    </row>
    <row r="51" customFormat="false" ht="23.85" hidden="false" customHeight="false" outlineLevel="0" collapsed="false">
      <c r="A51" s="2" t="s">
        <v>275</v>
      </c>
      <c r="B51" s="2" t="s">
        <v>170</v>
      </c>
      <c r="C51" s="2" t="s">
        <v>171</v>
      </c>
      <c r="D51" s="2" t="s">
        <v>233</v>
      </c>
      <c r="E51" s="2" t="s">
        <v>276</v>
      </c>
      <c r="F51" s="2" t="s">
        <v>277</v>
      </c>
      <c r="G51" s="2" t="s">
        <v>278</v>
      </c>
      <c r="H51" s="2" t="n">
        <v>2</v>
      </c>
      <c r="I51" s="2" t="s">
        <v>64</v>
      </c>
      <c r="J51" s="2" t="s">
        <v>229</v>
      </c>
      <c r="K51" s="2" t="s">
        <v>279</v>
      </c>
    </row>
    <row r="52" customFormat="false" ht="23.85" hidden="false" customHeight="false" outlineLevel="0" collapsed="false">
      <c r="A52" s="2" t="s">
        <v>280</v>
      </c>
      <c r="B52" s="2" t="s">
        <v>118</v>
      </c>
      <c r="C52" s="2" t="s">
        <v>119</v>
      </c>
      <c r="D52" s="2" t="s">
        <v>233</v>
      </c>
      <c r="E52" s="2" t="s">
        <v>120</v>
      </c>
      <c r="F52" s="2" t="s">
        <v>121</v>
      </c>
      <c r="G52" s="2" t="s">
        <v>122</v>
      </c>
      <c r="H52" s="2" t="n">
        <v>0</v>
      </c>
      <c r="I52" s="2" t="s">
        <v>70</v>
      </c>
      <c r="J52" s="2" t="s">
        <v>19</v>
      </c>
      <c r="K52" s="2" t="s">
        <v>71</v>
      </c>
    </row>
    <row r="53" customFormat="false" ht="46.25" hidden="false" customHeight="false" outlineLevel="0" collapsed="false">
      <c r="A53" s="2" t="s">
        <v>281</v>
      </c>
      <c r="B53" s="2" t="s">
        <v>282</v>
      </c>
      <c r="C53" s="2" t="s">
        <v>283</v>
      </c>
      <c r="D53" s="2" t="s">
        <v>284</v>
      </c>
      <c r="E53" s="2" t="s">
        <v>285</v>
      </c>
      <c r="F53" s="2" t="s">
        <v>286</v>
      </c>
      <c r="G53" s="2" t="s">
        <v>287</v>
      </c>
      <c r="H53" s="2" t="n">
        <v>5</v>
      </c>
      <c r="I53" s="2" t="s">
        <v>18</v>
      </c>
      <c r="J53" s="2" t="s">
        <v>19</v>
      </c>
      <c r="K53" s="2" t="s">
        <v>288</v>
      </c>
    </row>
    <row r="54" customFormat="false" ht="35.05" hidden="false" customHeight="false" outlineLevel="0" collapsed="false">
      <c r="A54" s="2" t="s">
        <v>289</v>
      </c>
      <c r="B54" s="2" t="s">
        <v>282</v>
      </c>
      <c r="C54" s="2" t="s">
        <v>283</v>
      </c>
      <c r="D54" s="2" t="s">
        <v>284</v>
      </c>
      <c r="E54" s="2" t="s">
        <v>290</v>
      </c>
      <c r="F54" s="2" t="s">
        <v>291</v>
      </c>
      <c r="G54" s="2" t="s">
        <v>292</v>
      </c>
      <c r="H54" s="2" t="n">
        <v>3</v>
      </c>
      <c r="I54" s="2" t="s">
        <v>53</v>
      </c>
      <c r="J54" s="2" t="s">
        <v>19</v>
      </c>
      <c r="K54" s="2" t="s">
        <v>293</v>
      </c>
    </row>
    <row r="55" customFormat="false" ht="46.25" hidden="false" customHeight="false" outlineLevel="0" collapsed="false">
      <c r="A55" s="2" t="s">
        <v>294</v>
      </c>
      <c r="B55" s="2" t="s">
        <v>282</v>
      </c>
      <c r="C55" s="2" t="s">
        <v>283</v>
      </c>
      <c r="D55" s="2" t="s">
        <v>284</v>
      </c>
      <c r="E55" s="2" t="s">
        <v>295</v>
      </c>
      <c r="F55" s="2" t="s">
        <v>296</v>
      </c>
      <c r="G55" s="2" t="s">
        <v>297</v>
      </c>
      <c r="H55" s="2" t="n">
        <v>2</v>
      </c>
      <c r="I55" s="2" t="s">
        <v>53</v>
      </c>
      <c r="J55" s="2" t="s">
        <v>19</v>
      </c>
      <c r="K55" s="2" t="s">
        <v>298</v>
      </c>
    </row>
    <row r="56" customFormat="false" ht="46.25" hidden="false" customHeight="false" outlineLevel="0" collapsed="false">
      <c r="A56" s="2" t="s">
        <v>299</v>
      </c>
      <c r="B56" s="2" t="s">
        <v>282</v>
      </c>
      <c r="C56" s="2" t="s">
        <v>283</v>
      </c>
      <c r="D56" s="2" t="s">
        <v>284</v>
      </c>
      <c r="E56" s="2" t="s">
        <v>300</v>
      </c>
      <c r="F56" s="2" t="s">
        <v>301</v>
      </c>
      <c r="G56" s="2" t="s">
        <v>302</v>
      </c>
      <c r="H56" s="2" t="n">
        <v>3</v>
      </c>
      <c r="I56" s="2" t="s">
        <v>53</v>
      </c>
      <c r="J56" s="2" t="s">
        <v>303</v>
      </c>
      <c r="K56" s="2" t="s">
        <v>304</v>
      </c>
    </row>
    <row r="57" customFormat="false" ht="35.05" hidden="false" customHeight="false" outlineLevel="0" collapsed="false">
      <c r="A57" s="2" t="s">
        <v>305</v>
      </c>
      <c r="B57" s="2" t="s">
        <v>282</v>
      </c>
      <c r="C57" s="2" t="s">
        <v>283</v>
      </c>
      <c r="D57" s="2" t="s">
        <v>284</v>
      </c>
      <c r="E57" s="2" t="s">
        <v>306</v>
      </c>
      <c r="F57" s="2" t="s">
        <v>307</v>
      </c>
      <c r="G57" s="2" t="s">
        <v>308</v>
      </c>
      <c r="H57" s="2" t="n">
        <v>3</v>
      </c>
      <c r="I57" s="2" t="s">
        <v>53</v>
      </c>
      <c r="J57" s="2" t="s">
        <v>303</v>
      </c>
      <c r="K57" s="2" t="s">
        <v>309</v>
      </c>
    </row>
    <row r="58" customFormat="false" ht="46.25" hidden="false" customHeight="false" outlineLevel="0" collapsed="false">
      <c r="A58" s="2" t="s">
        <v>310</v>
      </c>
      <c r="B58" s="2" t="s">
        <v>118</v>
      </c>
      <c r="C58" s="2" t="s">
        <v>119</v>
      </c>
      <c r="D58" s="2" t="s">
        <v>284</v>
      </c>
      <c r="E58" s="2" t="s">
        <v>311</v>
      </c>
      <c r="F58" s="2" t="s">
        <v>312</v>
      </c>
      <c r="G58" s="2" t="s">
        <v>313</v>
      </c>
      <c r="H58" s="2" t="n">
        <v>3</v>
      </c>
      <c r="I58" s="2" t="s">
        <v>18</v>
      </c>
      <c r="J58" s="2" t="s">
        <v>19</v>
      </c>
      <c r="K58" s="2" t="s">
        <v>314</v>
      </c>
    </row>
    <row r="59" customFormat="false" ht="35.05" hidden="false" customHeight="false" outlineLevel="0" collapsed="false">
      <c r="A59" s="2" t="s">
        <v>315</v>
      </c>
      <c r="B59" s="2" t="s">
        <v>118</v>
      </c>
      <c r="C59" s="2" t="s">
        <v>119</v>
      </c>
      <c r="D59" s="2" t="s">
        <v>284</v>
      </c>
      <c r="E59" s="2" t="s">
        <v>316</v>
      </c>
      <c r="F59" s="2" t="s">
        <v>317</v>
      </c>
      <c r="G59" s="2" t="s">
        <v>318</v>
      </c>
      <c r="H59" s="2" t="n">
        <v>3</v>
      </c>
      <c r="I59" s="2" t="s">
        <v>18</v>
      </c>
      <c r="J59" s="2" t="s">
        <v>19</v>
      </c>
      <c r="K59" s="2" t="s">
        <v>319</v>
      </c>
    </row>
    <row r="60" customFormat="false" ht="35.05" hidden="false" customHeight="false" outlineLevel="0" collapsed="false">
      <c r="A60" s="2" t="s">
        <v>320</v>
      </c>
      <c r="B60" s="2" t="s">
        <v>170</v>
      </c>
      <c r="C60" s="2" t="s">
        <v>171</v>
      </c>
      <c r="D60" s="2" t="s">
        <v>284</v>
      </c>
      <c r="E60" s="2" t="s">
        <v>321</v>
      </c>
      <c r="F60" s="2" t="s">
        <v>322</v>
      </c>
      <c r="G60" s="2" t="s">
        <v>323</v>
      </c>
      <c r="H60" s="2" t="n">
        <v>3</v>
      </c>
      <c r="I60" s="2" t="s">
        <v>40</v>
      </c>
      <c r="J60" s="2" t="s">
        <v>19</v>
      </c>
      <c r="K60" s="2" t="s">
        <v>324</v>
      </c>
    </row>
    <row r="61" customFormat="false" ht="35.05" hidden="false" customHeight="false" outlineLevel="0" collapsed="false">
      <c r="A61" s="2" t="s">
        <v>325</v>
      </c>
      <c r="B61" s="2" t="s">
        <v>326</v>
      </c>
      <c r="C61" s="2" t="s">
        <v>327</v>
      </c>
      <c r="D61" s="2" t="s">
        <v>284</v>
      </c>
      <c r="E61" s="2" t="s">
        <v>328</v>
      </c>
      <c r="F61" s="2" t="s">
        <v>329</v>
      </c>
      <c r="G61" s="2" t="s">
        <v>330</v>
      </c>
      <c r="H61" s="2" t="n">
        <v>3</v>
      </c>
      <c r="I61" s="2" t="s">
        <v>40</v>
      </c>
      <c r="J61" s="2" t="s">
        <v>19</v>
      </c>
      <c r="K61" s="2" t="s">
        <v>331</v>
      </c>
    </row>
    <row r="62" customFormat="false" ht="23.85" hidden="false" customHeight="false" outlineLevel="0" collapsed="false">
      <c r="A62" s="2" t="s">
        <v>332</v>
      </c>
      <c r="B62" s="2" t="s">
        <v>282</v>
      </c>
      <c r="C62" s="2" t="s">
        <v>283</v>
      </c>
      <c r="D62" s="2" t="s">
        <v>284</v>
      </c>
      <c r="E62" s="2" t="s">
        <v>333</v>
      </c>
      <c r="F62" s="2" t="s">
        <v>334</v>
      </c>
      <c r="G62" s="2" t="s">
        <v>335</v>
      </c>
      <c r="H62" s="2" t="n">
        <v>2</v>
      </c>
      <c r="I62" s="2" t="s">
        <v>64</v>
      </c>
      <c r="J62" s="2" t="s">
        <v>303</v>
      </c>
      <c r="K62" s="2" t="s">
        <v>336</v>
      </c>
    </row>
    <row r="63" customFormat="false" ht="23.85" hidden="false" customHeight="false" outlineLevel="0" collapsed="false">
      <c r="A63" s="2" t="s">
        <v>337</v>
      </c>
      <c r="B63" s="2" t="s">
        <v>118</v>
      </c>
      <c r="C63" s="2" t="s">
        <v>119</v>
      </c>
      <c r="D63" s="2" t="s">
        <v>284</v>
      </c>
      <c r="E63" s="2" t="s">
        <v>338</v>
      </c>
      <c r="F63" s="2" t="s">
        <v>339</v>
      </c>
      <c r="G63" s="2" t="s">
        <v>340</v>
      </c>
      <c r="H63" s="2" t="n">
        <v>0</v>
      </c>
      <c r="I63" s="2" t="s">
        <v>70</v>
      </c>
      <c r="J63" s="2" t="s">
        <v>303</v>
      </c>
      <c r="K63" s="2" t="s">
        <v>341</v>
      </c>
    </row>
    <row r="64" customFormat="false" ht="46.25" hidden="false" customHeight="false" outlineLevel="0" collapsed="false">
      <c r="A64" s="2" t="s">
        <v>342</v>
      </c>
      <c r="B64" s="2" t="s">
        <v>343</v>
      </c>
      <c r="C64" s="2" t="s">
        <v>344</v>
      </c>
      <c r="D64" s="2" t="s">
        <v>345</v>
      </c>
      <c r="E64" s="2" t="s">
        <v>346</v>
      </c>
      <c r="F64" s="2" t="s">
        <v>347</v>
      </c>
      <c r="G64" s="2" t="s">
        <v>348</v>
      </c>
      <c r="H64" s="2" t="n">
        <v>8</v>
      </c>
      <c r="I64" s="2" t="s">
        <v>18</v>
      </c>
      <c r="J64" s="2" t="s">
        <v>303</v>
      </c>
      <c r="K64" s="2" t="s">
        <v>349</v>
      </c>
    </row>
    <row r="65" customFormat="false" ht="46.25" hidden="false" customHeight="false" outlineLevel="0" collapsed="false">
      <c r="A65" s="2" t="s">
        <v>350</v>
      </c>
      <c r="B65" s="2" t="s">
        <v>343</v>
      </c>
      <c r="C65" s="2" t="s">
        <v>344</v>
      </c>
      <c r="D65" s="2" t="s">
        <v>345</v>
      </c>
      <c r="E65" s="2" t="s">
        <v>351</v>
      </c>
      <c r="F65" s="2" t="s">
        <v>352</v>
      </c>
      <c r="G65" s="2" t="s">
        <v>353</v>
      </c>
      <c r="H65" s="2" t="n">
        <v>8</v>
      </c>
      <c r="I65" s="2" t="s">
        <v>18</v>
      </c>
      <c r="J65" s="2" t="s">
        <v>303</v>
      </c>
      <c r="K65" s="2" t="s">
        <v>354</v>
      </c>
    </row>
    <row r="66" customFormat="false" ht="46.25" hidden="false" customHeight="false" outlineLevel="0" collapsed="false">
      <c r="A66" s="2" t="s">
        <v>355</v>
      </c>
      <c r="B66" s="2" t="s">
        <v>343</v>
      </c>
      <c r="C66" s="2" t="s">
        <v>344</v>
      </c>
      <c r="D66" s="2" t="s">
        <v>345</v>
      </c>
      <c r="E66" s="2" t="s">
        <v>356</v>
      </c>
      <c r="F66" s="2" t="s">
        <v>357</v>
      </c>
      <c r="G66" s="2" t="s">
        <v>358</v>
      </c>
      <c r="H66" s="2" t="n">
        <v>5</v>
      </c>
      <c r="I66" s="2" t="s">
        <v>18</v>
      </c>
      <c r="J66" s="2" t="s">
        <v>303</v>
      </c>
      <c r="K66" s="2" t="s">
        <v>359</v>
      </c>
    </row>
    <row r="67" customFormat="false" ht="35.05" hidden="false" customHeight="false" outlineLevel="0" collapsed="false">
      <c r="A67" s="2" t="s">
        <v>360</v>
      </c>
      <c r="B67" s="2" t="s">
        <v>343</v>
      </c>
      <c r="C67" s="2" t="s">
        <v>344</v>
      </c>
      <c r="D67" s="2" t="s">
        <v>345</v>
      </c>
      <c r="E67" s="2" t="s">
        <v>361</v>
      </c>
      <c r="F67" s="2" t="s">
        <v>362</v>
      </c>
      <c r="G67" s="2" t="s">
        <v>363</v>
      </c>
      <c r="H67" s="2" t="n">
        <v>3</v>
      </c>
      <c r="I67" s="2" t="s">
        <v>18</v>
      </c>
      <c r="J67" s="2" t="s">
        <v>303</v>
      </c>
      <c r="K67" s="2" t="s">
        <v>364</v>
      </c>
    </row>
    <row r="68" customFormat="false" ht="35.05" hidden="false" customHeight="false" outlineLevel="0" collapsed="false">
      <c r="A68" s="2" t="s">
        <v>365</v>
      </c>
      <c r="B68" s="2" t="s">
        <v>343</v>
      </c>
      <c r="C68" s="2" t="s">
        <v>344</v>
      </c>
      <c r="D68" s="2" t="s">
        <v>345</v>
      </c>
      <c r="E68" s="2" t="s">
        <v>366</v>
      </c>
      <c r="F68" s="2" t="s">
        <v>367</v>
      </c>
      <c r="G68" s="2" t="s">
        <v>368</v>
      </c>
      <c r="H68" s="2" t="n">
        <v>5</v>
      </c>
      <c r="I68" s="2" t="s">
        <v>40</v>
      </c>
      <c r="J68" s="2" t="s">
        <v>303</v>
      </c>
      <c r="K68" s="2"/>
    </row>
    <row r="69" customFormat="false" ht="35.05" hidden="false" customHeight="false" outlineLevel="0" collapsed="false">
      <c r="A69" s="2" t="s">
        <v>369</v>
      </c>
      <c r="B69" s="2" t="s">
        <v>343</v>
      </c>
      <c r="C69" s="2" t="s">
        <v>344</v>
      </c>
      <c r="D69" s="2" t="s">
        <v>370</v>
      </c>
      <c r="E69" s="2" t="s">
        <v>371</v>
      </c>
      <c r="F69" s="2" t="s">
        <v>372</v>
      </c>
      <c r="G69" s="2" t="s">
        <v>373</v>
      </c>
      <c r="H69" s="2" t="n">
        <v>5</v>
      </c>
      <c r="I69" s="2" t="s">
        <v>18</v>
      </c>
      <c r="J69" s="2" t="s">
        <v>303</v>
      </c>
      <c r="K69" s="2" t="s">
        <v>374</v>
      </c>
    </row>
    <row r="70" customFormat="false" ht="46.25" hidden="false" customHeight="false" outlineLevel="0" collapsed="false">
      <c r="A70" s="2" t="s">
        <v>375</v>
      </c>
      <c r="B70" s="2" t="s">
        <v>343</v>
      </c>
      <c r="C70" s="2" t="s">
        <v>344</v>
      </c>
      <c r="D70" s="2" t="s">
        <v>370</v>
      </c>
      <c r="E70" s="2" t="s">
        <v>376</v>
      </c>
      <c r="F70" s="2" t="s">
        <v>377</v>
      </c>
      <c r="G70" s="2" t="s">
        <v>378</v>
      </c>
      <c r="H70" s="2" t="n">
        <v>5</v>
      </c>
      <c r="I70" s="2" t="s">
        <v>18</v>
      </c>
      <c r="J70" s="2" t="s">
        <v>303</v>
      </c>
      <c r="K70" s="2" t="s">
        <v>379</v>
      </c>
    </row>
    <row r="71" customFormat="false" ht="35.05" hidden="false" customHeight="false" outlineLevel="0" collapsed="false">
      <c r="A71" s="2" t="s">
        <v>380</v>
      </c>
      <c r="B71" s="2" t="s">
        <v>343</v>
      </c>
      <c r="C71" s="2" t="s">
        <v>344</v>
      </c>
      <c r="D71" s="2" t="s">
        <v>345</v>
      </c>
      <c r="E71" s="2" t="s">
        <v>381</v>
      </c>
      <c r="F71" s="2" t="s">
        <v>382</v>
      </c>
      <c r="G71" s="2" t="s">
        <v>383</v>
      </c>
      <c r="H71" s="2" t="n">
        <v>2</v>
      </c>
      <c r="I71" s="2" t="s">
        <v>64</v>
      </c>
      <c r="J71" s="2" t="s">
        <v>303</v>
      </c>
      <c r="K71" s="2"/>
    </row>
    <row r="72" customFormat="false" ht="23.85" hidden="false" customHeight="false" outlineLevel="0" collapsed="false">
      <c r="A72" s="2" t="s">
        <v>384</v>
      </c>
      <c r="B72" s="2" t="s">
        <v>343</v>
      </c>
      <c r="C72" s="2" t="s">
        <v>344</v>
      </c>
      <c r="D72" s="2" t="s">
        <v>345</v>
      </c>
      <c r="E72" s="2" t="s">
        <v>385</v>
      </c>
      <c r="F72" s="2" t="s">
        <v>386</v>
      </c>
      <c r="G72" s="2" t="s">
        <v>387</v>
      </c>
      <c r="H72" s="2" t="n">
        <v>0</v>
      </c>
      <c r="I72" s="2" t="s">
        <v>70</v>
      </c>
      <c r="J72" s="2" t="s">
        <v>303</v>
      </c>
      <c r="K72" s="2" t="s">
        <v>71</v>
      </c>
    </row>
    <row r="73" customFormat="false" ht="46.25" hidden="false" customHeight="false" outlineLevel="0" collapsed="false">
      <c r="A73" s="2" t="s">
        <v>388</v>
      </c>
      <c r="B73" s="2" t="s">
        <v>389</v>
      </c>
      <c r="C73" s="2" t="s">
        <v>390</v>
      </c>
      <c r="D73" s="2" t="s">
        <v>391</v>
      </c>
      <c r="E73" s="2" t="s">
        <v>392</v>
      </c>
      <c r="F73" s="2" t="s">
        <v>393</v>
      </c>
      <c r="G73" s="2" t="s">
        <v>394</v>
      </c>
      <c r="H73" s="2" t="n">
        <v>5</v>
      </c>
      <c r="I73" s="2" t="s">
        <v>53</v>
      </c>
      <c r="J73" s="2" t="s">
        <v>303</v>
      </c>
      <c r="K73" s="2" t="s">
        <v>395</v>
      </c>
    </row>
    <row r="74" customFormat="false" ht="46.25" hidden="false" customHeight="false" outlineLevel="0" collapsed="false">
      <c r="A74" s="2" t="s">
        <v>396</v>
      </c>
      <c r="B74" s="2" t="s">
        <v>397</v>
      </c>
      <c r="C74" s="2" t="s">
        <v>398</v>
      </c>
      <c r="D74" s="2" t="s">
        <v>370</v>
      </c>
      <c r="E74" s="2" t="s">
        <v>399</v>
      </c>
      <c r="F74" s="2" t="s">
        <v>400</v>
      </c>
      <c r="G74" s="2" t="s">
        <v>401</v>
      </c>
      <c r="H74" s="2" t="n">
        <v>5</v>
      </c>
      <c r="I74" s="2" t="s">
        <v>18</v>
      </c>
      <c r="J74" s="2" t="s">
        <v>303</v>
      </c>
      <c r="K74" s="2" t="s">
        <v>402</v>
      </c>
    </row>
    <row r="75" customFormat="false" ht="35.05" hidden="false" customHeight="false" outlineLevel="0" collapsed="false">
      <c r="A75" s="2" t="s">
        <v>403</v>
      </c>
      <c r="B75" s="2" t="s">
        <v>397</v>
      </c>
      <c r="C75" s="2" t="s">
        <v>398</v>
      </c>
      <c r="D75" s="2" t="s">
        <v>370</v>
      </c>
      <c r="E75" s="2" t="s">
        <v>404</v>
      </c>
      <c r="F75" s="2" t="s">
        <v>405</v>
      </c>
      <c r="G75" s="2" t="s">
        <v>406</v>
      </c>
      <c r="H75" s="2" t="n">
        <v>5</v>
      </c>
      <c r="I75" s="2" t="s">
        <v>53</v>
      </c>
      <c r="J75" s="2" t="s">
        <v>303</v>
      </c>
      <c r="K75" s="2" t="s">
        <v>407</v>
      </c>
    </row>
    <row r="76" customFormat="false" ht="35.05" hidden="false" customHeight="false" outlineLevel="0" collapsed="false">
      <c r="A76" s="2" t="s">
        <v>408</v>
      </c>
      <c r="B76" s="2" t="s">
        <v>397</v>
      </c>
      <c r="C76" s="2" t="s">
        <v>398</v>
      </c>
      <c r="D76" s="2" t="s">
        <v>370</v>
      </c>
      <c r="E76" s="2" t="s">
        <v>409</v>
      </c>
      <c r="F76" s="2" t="s">
        <v>410</v>
      </c>
      <c r="G76" s="2" t="s">
        <v>411</v>
      </c>
      <c r="H76" s="2" t="n">
        <v>5</v>
      </c>
      <c r="I76" s="2" t="s">
        <v>18</v>
      </c>
      <c r="J76" s="2" t="s">
        <v>303</v>
      </c>
      <c r="K76" s="2" t="s">
        <v>412</v>
      </c>
    </row>
    <row r="77" customFormat="false" ht="35.05" hidden="false" customHeight="false" outlineLevel="0" collapsed="false">
      <c r="A77" s="2" t="s">
        <v>413</v>
      </c>
      <c r="B77" s="2" t="s">
        <v>397</v>
      </c>
      <c r="C77" s="2" t="s">
        <v>398</v>
      </c>
      <c r="D77" s="2" t="s">
        <v>370</v>
      </c>
      <c r="E77" s="2" t="s">
        <v>414</v>
      </c>
      <c r="F77" s="2" t="s">
        <v>415</v>
      </c>
      <c r="G77" s="2" t="s">
        <v>416</v>
      </c>
      <c r="H77" s="2" t="n">
        <v>3</v>
      </c>
      <c r="I77" s="2" t="s">
        <v>40</v>
      </c>
      <c r="J77" s="2" t="s">
        <v>303</v>
      </c>
      <c r="K77" s="2"/>
    </row>
    <row r="78" customFormat="false" ht="46.25" hidden="false" customHeight="false" outlineLevel="0" collapsed="false">
      <c r="A78" s="2" t="s">
        <v>417</v>
      </c>
      <c r="B78" s="2" t="s">
        <v>389</v>
      </c>
      <c r="C78" s="2" t="s">
        <v>390</v>
      </c>
      <c r="D78" s="2" t="s">
        <v>391</v>
      </c>
      <c r="E78" s="2" t="s">
        <v>418</v>
      </c>
      <c r="F78" s="2" t="s">
        <v>419</v>
      </c>
      <c r="G78" s="2" t="s">
        <v>420</v>
      </c>
      <c r="H78" s="2" t="n">
        <v>8</v>
      </c>
      <c r="I78" s="2" t="s">
        <v>18</v>
      </c>
      <c r="J78" s="2" t="s">
        <v>303</v>
      </c>
      <c r="K78" s="2" t="s">
        <v>421</v>
      </c>
    </row>
    <row r="79" customFormat="false" ht="35.05" hidden="false" customHeight="false" outlineLevel="0" collapsed="false">
      <c r="A79" s="2" t="s">
        <v>422</v>
      </c>
      <c r="B79" s="2" t="s">
        <v>389</v>
      </c>
      <c r="C79" s="2" t="s">
        <v>390</v>
      </c>
      <c r="D79" s="2" t="s">
        <v>391</v>
      </c>
      <c r="E79" s="2" t="s">
        <v>423</v>
      </c>
      <c r="F79" s="2" t="s">
        <v>424</v>
      </c>
      <c r="G79" s="2" t="s">
        <v>425</v>
      </c>
      <c r="H79" s="2" t="n">
        <v>5</v>
      </c>
      <c r="I79" s="2" t="s">
        <v>18</v>
      </c>
      <c r="J79" s="2" t="s">
        <v>303</v>
      </c>
      <c r="K79" s="2" t="s">
        <v>426</v>
      </c>
    </row>
    <row r="80" customFormat="false" ht="46.25" hidden="false" customHeight="false" outlineLevel="0" collapsed="false">
      <c r="A80" s="2" t="s">
        <v>427</v>
      </c>
      <c r="B80" s="2" t="s">
        <v>397</v>
      </c>
      <c r="C80" s="2" t="s">
        <v>398</v>
      </c>
      <c r="D80" s="2" t="s">
        <v>391</v>
      </c>
      <c r="E80" s="2" t="s">
        <v>428</v>
      </c>
      <c r="F80" s="2" t="s">
        <v>429</v>
      </c>
      <c r="G80" s="2" t="s">
        <v>430</v>
      </c>
      <c r="H80" s="2" t="n">
        <v>8</v>
      </c>
      <c r="I80" s="2" t="s">
        <v>18</v>
      </c>
      <c r="J80" s="2" t="s">
        <v>303</v>
      </c>
      <c r="K80" s="2" t="s">
        <v>431</v>
      </c>
    </row>
    <row r="81" customFormat="false" ht="23.85" hidden="false" customHeight="false" outlineLevel="0" collapsed="false">
      <c r="A81" s="2" t="s">
        <v>432</v>
      </c>
      <c r="B81" s="2" t="s">
        <v>389</v>
      </c>
      <c r="C81" s="2" t="s">
        <v>390</v>
      </c>
      <c r="D81" s="2" t="s">
        <v>370</v>
      </c>
      <c r="E81" s="2" t="s">
        <v>433</v>
      </c>
      <c r="F81" s="2" t="s">
        <v>434</v>
      </c>
      <c r="G81" s="2" t="s">
        <v>435</v>
      </c>
      <c r="H81" s="2" t="n">
        <v>2</v>
      </c>
      <c r="I81" s="2" t="s">
        <v>64</v>
      </c>
      <c r="J81" s="2" t="s">
        <v>303</v>
      </c>
      <c r="K81" s="2"/>
    </row>
    <row r="82" customFormat="false" ht="23.85" hidden="false" customHeight="false" outlineLevel="0" collapsed="false">
      <c r="A82" s="2" t="s">
        <v>436</v>
      </c>
      <c r="B82" s="2" t="s">
        <v>389</v>
      </c>
      <c r="C82" s="2" t="s">
        <v>390</v>
      </c>
      <c r="D82" s="2" t="s">
        <v>370</v>
      </c>
      <c r="E82" s="2" t="s">
        <v>437</v>
      </c>
      <c r="F82" s="2" t="s">
        <v>438</v>
      </c>
      <c r="G82" s="2" t="s">
        <v>439</v>
      </c>
      <c r="H82" s="2" t="n">
        <v>0</v>
      </c>
      <c r="I82" s="2" t="s">
        <v>70</v>
      </c>
      <c r="J82" s="2" t="s">
        <v>303</v>
      </c>
      <c r="K82" s="2" t="s">
        <v>71</v>
      </c>
    </row>
    <row r="83" customFormat="false" ht="46.25" hidden="false" customHeight="false" outlineLevel="0" collapsed="false">
      <c r="A83" s="2" t="s">
        <v>440</v>
      </c>
      <c r="B83" s="2" t="s">
        <v>397</v>
      </c>
      <c r="C83" s="2" t="s">
        <v>398</v>
      </c>
      <c r="D83" s="2" t="s">
        <v>441</v>
      </c>
      <c r="E83" s="2" t="s">
        <v>442</v>
      </c>
      <c r="F83" s="2" t="s">
        <v>443</v>
      </c>
      <c r="G83" s="2" t="s">
        <v>444</v>
      </c>
      <c r="H83" s="2" t="n">
        <v>8</v>
      </c>
      <c r="I83" s="2" t="s">
        <v>18</v>
      </c>
      <c r="J83" s="2" t="s">
        <v>303</v>
      </c>
      <c r="K83" s="2" t="s">
        <v>445</v>
      </c>
    </row>
    <row r="84" customFormat="false" ht="35.05" hidden="false" customHeight="false" outlineLevel="0" collapsed="false">
      <c r="A84" s="2" t="s">
        <v>446</v>
      </c>
      <c r="B84" s="2" t="s">
        <v>397</v>
      </c>
      <c r="C84" s="2" t="s">
        <v>398</v>
      </c>
      <c r="D84" s="2" t="s">
        <v>441</v>
      </c>
      <c r="E84" s="2" t="s">
        <v>447</v>
      </c>
      <c r="F84" s="2" t="s">
        <v>448</v>
      </c>
      <c r="G84" s="2" t="s">
        <v>449</v>
      </c>
      <c r="H84" s="2" t="n">
        <v>5</v>
      </c>
      <c r="I84" s="2" t="s">
        <v>18</v>
      </c>
      <c r="J84" s="2" t="s">
        <v>303</v>
      </c>
      <c r="K84" s="2"/>
    </row>
    <row r="85" customFormat="false" ht="46.25" hidden="false" customHeight="false" outlineLevel="0" collapsed="false">
      <c r="A85" s="2" t="s">
        <v>450</v>
      </c>
      <c r="B85" s="2" t="s">
        <v>389</v>
      </c>
      <c r="C85" s="2" t="s">
        <v>390</v>
      </c>
      <c r="D85" s="2" t="s">
        <v>441</v>
      </c>
      <c r="E85" s="2" t="s">
        <v>451</v>
      </c>
      <c r="F85" s="2" t="s">
        <v>452</v>
      </c>
      <c r="G85" s="2" t="s">
        <v>453</v>
      </c>
      <c r="H85" s="2" t="n">
        <v>5</v>
      </c>
      <c r="I85" s="2" t="s">
        <v>40</v>
      </c>
      <c r="J85" s="2" t="s">
        <v>303</v>
      </c>
      <c r="K85" s="2" t="s">
        <v>454</v>
      </c>
    </row>
    <row r="86" customFormat="false" ht="35.05" hidden="false" customHeight="false" outlineLevel="0" collapsed="false">
      <c r="A86" s="2" t="s">
        <v>455</v>
      </c>
      <c r="B86" s="2" t="s">
        <v>389</v>
      </c>
      <c r="C86" s="2" t="s">
        <v>390</v>
      </c>
      <c r="D86" s="2" t="s">
        <v>441</v>
      </c>
      <c r="E86" s="2" t="s">
        <v>456</v>
      </c>
      <c r="F86" s="2" t="s">
        <v>457</v>
      </c>
      <c r="G86" s="2" t="s">
        <v>458</v>
      </c>
      <c r="H86" s="2" t="n">
        <v>3</v>
      </c>
      <c r="I86" s="2" t="s">
        <v>18</v>
      </c>
      <c r="J86" s="2" t="s">
        <v>303</v>
      </c>
      <c r="K86" s="2" t="s">
        <v>459</v>
      </c>
    </row>
    <row r="87" customFormat="false" ht="35.05" hidden="false" customHeight="false" outlineLevel="0" collapsed="false">
      <c r="A87" s="2" t="s">
        <v>460</v>
      </c>
      <c r="B87" s="2" t="s">
        <v>389</v>
      </c>
      <c r="C87" s="2" t="s">
        <v>390</v>
      </c>
      <c r="D87" s="2" t="s">
        <v>391</v>
      </c>
      <c r="E87" s="2" t="s">
        <v>461</v>
      </c>
      <c r="F87" s="2" t="s">
        <v>462</v>
      </c>
      <c r="G87" s="2" t="s">
        <v>463</v>
      </c>
      <c r="H87" s="2" t="n">
        <v>5</v>
      </c>
      <c r="I87" s="2" t="s">
        <v>40</v>
      </c>
      <c r="J87" s="2" t="s">
        <v>303</v>
      </c>
      <c r="K87" s="2" t="s">
        <v>464</v>
      </c>
    </row>
    <row r="88" customFormat="false" ht="46.25" hidden="false" customHeight="false" outlineLevel="0" collapsed="false">
      <c r="A88" s="2" t="s">
        <v>465</v>
      </c>
      <c r="B88" s="2" t="s">
        <v>389</v>
      </c>
      <c r="C88" s="2" t="s">
        <v>390</v>
      </c>
      <c r="D88" s="2" t="s">
        <v>441</v>
      </c>
      <c r="E88" s="2" t="s">
        <v>466</v>
      </c>
      <c r="F88" s="2" t="s">
        <v>467</v>
      </c>
      <c r="G88" s="2" t="s">
        <v>468</v>
      </c>
      <c r="H88" s="2" t="n">
        <v>8</v>
      </c>
      <c r="I88" s="2" t="s">
        <v>18</v>
      </c>
      <c r="J88" s="2" t="s">
        <v>303</v>
      </c>
      <c r="K88" s="2" t="s">
        <v>469</v>
      </c>
    </row>
    <row r="89" customFormat="false" ht="35.05" hidden="false" customHeight="false" outlineLevel="0" collapsed="false">
      <c r="A89" s="2" t="s">
        <v>470</v>
      </c>
      <c r="B89" s="2" t="s">
        <v>397</v>
      </c>
      <c r="C89" s="2" t="s">
        <v>398</v>
      </c>
      <c r="D89" s="2" t="s">
        <v>370</v>
      </c>
      <c r="E89" s="2" t="s">
        <v>471</v>
      </c>
      <c r="F89" s="2" t="s">
        <v>472</v>
      </c>
      <c r="G89" s="2" t="s">
        <v>473</v>
      </c>
      <c r="H89" s="2" t="n">
        <v>3</v>
      </c>
      <c r="I89" s="2" t="s">
        <v>18</v>
      </c>
      <c r="J89" s="2" t="s">
        <v>303</v>
      </c>
      <c r="K89" s="2"/>
    </row>
    <row r="90" customFormat="false" ht="35.05" hidden="false" customHeight="false" outlineLevel="0" collapsed="false">
      <c r="A90" s="2" t="s">
        <v>474</v>
      </c>
      <c r="B90" s="2" t="s">
        <v>389</v>
      </c>
      <c r="C90" s="2" t="s">
        <v>390</v>
      </c>
      <c r="D90" s="2" t="s">
        <v>441</v>
      </c>
      <c r="E90" s="2" t="s">
        <v>475</v>
      </c>
      <c r="F90" s="2" t="s">
        <v>476</v>
      </c>
      <c r="G90" s="2" t="s">
        <v>477</v>
      </c>
      <c r="H90" s="2" t="n">
        <v>5</v>
      </c>
      <c r="I90" s="2" t="s">
        <v>40</v>
      </c>
      <c r="J90" s="2" t="s">
        <v>303</v>
      </c>
      <c r="K90" s="2"/>
    </row>
    <row r="91" customFormat="false" ht="23.85" hidden="false" customHeight="false" outlineLevel="0" collapsed="false">
      <c r="A91" s="2" t="s">
        <v>478</v>
      </c>
      <c r="B91" s="2" t="s">
        <v>389</v>
      </c>
      <c r="C91" s="2" t="s">
        <v>390</v>
      </c>
      <c r="D91" s="2" t="s">
        <v>441</v>
      </c>
      <c r="E91" s="2" t="s">
        <v>479</v>
      </c>
      <c r="F91" s="2" t="s">
        <v>480</v>
      </c>
      <c r="G91" s="2" t="s">
        <v>481</v>
      </c>
      <c r="H91" s="2" t="n">
        <v>2</v>
      </c>
      <c r="I91" s="2" t="s">
        <v>64</v>
      </c>
      <c r="J91" s="2" t="s">
        <v>303</v>
      </c>
      <c r="K91" s="2"/>
    </row>
    <row r="92" customFormat="false" ht="23.85" hidden="false" customHeight="false" outlineLevel="0" collapsed="false">
      <c r="A92" s="2" t="s">
        <v>482</v>
      </c>
      <c r="B92" s="2" t="s">
        <v>389</v>
      </c>
      <c r="C92" s="2" t="s">
        <v>390</v>
      </c>
      <c r="D92" s="2" t="s">
        <v>391</v>
      </c>
      <c r="E92" s="2" t="s">
        <v>483</v>
      </c>
      <c r="F92" s="2" t="s">
        <v>484</v>
      </c>
      <c r="G92" s="2" t="s">
        <v>485</v>
      </c>
      <c r="H92" s="2" t="n">
        <v>0</v>
      </c>
      <c r="I92" s="2" t="s">
        <v>70</v>
      </c>
      <c r="J92" s="2" t="s">
        <v>303</v>
      </c>
      <c r="K92" s="2" t="s">
        <v>71</v>
      </c>
    </row>
    <row r="93" customFormat="false" ht="23.85" hidden="false" customHeight="false" outlineLevel="0" collapsed="false">
      <c r="A93" s="2" t="s">
        <v>486</v>
      </c>
      <c r="B93" s="2" t="s">
        <v>389</v>
      </c>
      <c r="C93" s="2" t="s">
        <v>390</v>
      </c>
      <c r="D93" s="2" t="s">
        <v>441</v>
      </c>
      <c r="E93" s="2" t="s">
        <v>487</v>
      </c>
      <c r="F93" s="2" t="s">
        <v>488</v>
      </c>
      <c r="G93" s="2" t="s">
        <v>489</v>
      </c>
      <c r="H93" s="2" t="n">
        <v>0</v>
      </c>
      <c r="I93" s="2" t="s">
        <v>70</v>
      </c>
      <c r="J93" s="2" t="s">
        <v>303</v>
      </c>
      <c r="K93" s="2" t="s">
        <v>71</v>
      </c>
    </row>
    <row r="94" customFormat="false" ht="35.05" hidden="false" customHeight="false" outlineLevel="0" collapsed="false">
      <c r="A94" s="2" t="s">
        <v>490</v>
      </c>
      <c r="B94" s="2" t="s">
        <v>326</v>
      </c>
      <c r="C94" s="2" t="s">
        <v>327</v>
      </c>
      <c r="D94" s="2" t="s">
        <v>491</v>
      </c>
      <c r="E94" s="2" t="s">
        <v>492</v>
      </c>
      <c r="F94" s="2" t="s">
        <v>493</v>
      </c>
      <c r="G94" s="2" t="s">
        <v>494</v>
      </c>
      <c r="H94" s="2" t="n">
        <v>5</v>
      </c>
      <c r="I94" s="2" t="s">
        <v>53</v>
      </c>
      <c r="J94" s="2" t="s">
        <v>303</v>
      </c>
      <c r="K94" s="2" t="s">
        <v>495</v>
      </c>
    </row>
    <row r="95" customFormat="false" ht="35.05" hidden="false" customHeight="false" outlineLevel="0" collapsed="false">
      <c r="A95" s="2" t="s">
        <v>496</v>
      </c>
      <c r="B95" s="2" t="s">
        <v>326</v>
      </c>
      <c r="C95" s="2" t="s">
        <v>327</v>
      </c>
      <c r="D95" s="2" t="s">
        <v>491</v>
      </c>
      <c r="E95" s="2" t="s">
        <v>497</v>
      </c>
      <c r="F95" s="2" t="s">
        <v>498</v>
      </c>
      <c r="G95" s="2" t="s">
        <v>499</v>
      </c>
      <c r="H95" s="2" t="n">
        <v>5</v>
      </c>
      <c r="I95" s="2" t="s">
        <v>40</v>
      </c>
      <c r="J95" s="2" t="s">
        <v>303</v>
      </c>
      <c r="K95" s="2" t="s">
        <v>500</v>
      </c>
    </row>
    <row r="96" customFormat="false" ht="23.85" hidden="false" customHeight="false" outlineLevel="0" collapsed="false">
      <c r="A96" s="2" t="s">
        <v>501</v>
      </c>
      <c r="B96" s="2" t="s">
        <v>326</v>
      </c>
      <c r="C96" s="2" t="s">
        <v>327</v>
      </c>
      <c r="D96" s="2" t="s">
        <v>491</v>
      </c>
      <c r="E96" s="2" t="s">
        <v>502</v>
      </c>
      <c r="F96" s="2" t="s">
        <v>503</v>
      </c>
      <c r="G96" s="2" t="s">
        <v>504</v>
      </c>
      <c r="H96" s="2" t="n">
        <v>5</v>
      </c>
      <c r="I96" s="2" t="s">
        <v>53</v>
      </c>
      <c r="J96" s="2" t="s">
        <v>303</v>
      </c>
      <c r="K96" s="2" t="s">
        <v>505</v>
      </c>
    </row>
    <row r="97" customFormat="false" ht="23.85" hidden="false" customHeight="false" outlineLevel="0" collapsed="false">
      <c r="A97" s="2" t="s">
        <v>506</v>
      </c>
      <c r="B97" s="2" t="s">
        <v>326</v>
      </c>
      <c r="C97" s="2" t="s">
        <v>327</v>
      </c>
      <c r="D97" s="2" t="s">
        <v>491</v>
      </c>
      <c r="E97" s="2" t="s">
        <v>507</v>
      </c>
      <c r="F97" s="2" t="s">
        <v>508</v>
      </c>
      <c r="G97" s="2" t="s">
        <v>509</v>
      </c>
      <c r="H97" s="2" t="n">
        <v>3</v>
      </c>
      <c r="I97" s="2" t="s">
        <v>18</v>
      </c>
      <c r="J97" s="2" t="s">
        <v>303</v>
      </c>
      <c r="K97" s="2" t="s">
        <v>510</v>
      </c>
    </row>
    <row r="98" customFormat="false" ht="23.85" hidden="false" customHeight="false" outlineLevel="0" collapsed="false">
      <c r="A98" s="2" t="s">
        <v>511</v>
      </c>
      <c r="B98" s="2" t="s">
        <v>326</v>
      </c>
      <c r="C98" s="2" t="s">
        <v>327</v>
      </c>
      <c r="D98" s="2" t="s">
        <v>491</v>
      </c>
      <c r="E98" s="2" t="s">
        <v>512</v>
      </c>
      <c r="F98" s="2" t="s">
        <v>513</v>
      </c>
      <c r="G98" s="2" t="s">
        <v>514</v>
      </c>
      <c r="H98" s="2" t="n">
        <v>3</v>
      </c>
      <c r="I98" s="2" t="s">
        <v>53</v>
      </c>
      <c r="J98" s="2" t="s">
        <v>303</v>
      </c>
      <c r="K98" s="2"/>
    </row>
    <row r="99" customFormat="false" ht="23.85" hidden="false" customHeight="false" outlineLevel="0" collapsed="false">
      <c r="A99" s="2" t="s">
        <v>515</v>
      </c>
      <c r="B99" s="2" t="s">
        <v>326</v>
      </c>
      <c r="C99" s="2" t="s">
        <v>327</v>
      </c>
      <c r="D99" s="2" t="s">
        <v>491</v>
      </c>
      <c r="E99" s="2" t="s">
        <v>516</v>
      </c>
      <c r="F99" s="2" t="s">
        <v>517</v>
      </c>
      <c r="G99" s="2" t="s">
        <v>518</v>
      </c>
      <c r="H99" s="2" t="n">
        <v>3</v>
      </c>
      <c r="I99" s="2" t="s">
        <v>18</v>
      </c>
      <c r="J99" s="2" t="s">
        <v>303</v>
      </c>
      <c r="K99" s="2" t="s">
        <v>519</v>
      </c>
    </row>
    <row r="100" customFormat="false" ht="23.85" hidden="false" customHeight="false" outlineLevel="0" collapsed="false">
      <c r="A100" s="2" t="s">
        <v>520</v>
      </c>
      <c r="B100" s="2" t="s">
        <v>326</v>
      </c>
      <c r="C100" s="2" t="s">
        <v>327</v>
      </c>
      <c r="D100" s="2" t="s">
        <v>491</v>
      </c>
      <c r="E100" s="2" t="s">
        <v>521</v>
      </c>
      <c r="F100" s="2" t="s">
        <v>522</v>
      </c>
      <c r="G100" s="2" t="s">
        <v>523</v>
      </c>
      <c r="H100" s="2" t="n">
        <v>2</v>
      </c>
      <c r="I100" s="2" t="s">
        <v>64</v>
      </c>
      <c r="J100" s="2" t="s">
        <v>303</v>
      </c>
      <c r="K100" s="2" t="s">
        <v>524</v>
      </c>
    </row>
    <row r="101" customFormat="false" ht="35.05" hidden="false" customHeight="false" outlineLevel="0" collapsed="false">
      <c r="A101" s="2" t="s">
        <v>525</v>
      </c>
      <c r="B101" s="2" t="s">
        <v>326</v>
      </c>
      <c r="C101" s="2" t="s">
        <v>327</v>
      </c>
      <c r="D101" s="2" t="s">
        <v>491</v>
      </c>
      <c r="E101" s="2" t="s">
        <v>526</v>
      </c>
      <c r="F101" s="2" t="s">
        <v>527</v>
      </c>
      <c r="G101" s="2" t="s">
        <v>528</v>
      </c>
      <c r="H101" s="2" t="n">
        <v>5</v>
      </c>
      <c r="I101" s="2" t="s">
        <v>18</v>
      </c>
      <c r="J101" s="2" t="s">
        <v>303</v>
      </c>
      <c r="K101" s="2" t="s">
        <v>529</v>
      </c>
    </row>
    <row r="102" customFormat="false" ht="23.85" hidden="false" customHeight="false" outlineLevel="0" collapsed="false">
      <c r="A102" s="2" t="s">
        <v>530</v>
      </c>
      <c r="B102" s="2" t="s">
        <v>326</v>
      </c>
      <c r="C102" s="2" t="s">
        <v>327</v>
      </c>
      <c r="D102" s="2" t="s">
        <v>491</v>
      </c>
      <c r="E102" s="2" t="s">
        <v>531</v>
      </c>
      <c r="F102" s="2" t="s">
        <v>532</v>
      </c>
      <c r="G102" s="2" t="s">
        <v>533</v>
      </c>
      <c r="H102" s="2" t="n">
        <v>3</v>
      </c>
      <c r="I102" s="2" t="s">
        <v>53</v>
      </c>
      <c r="J102" s="2" t="s">
        <v>303</v>
      </c>
      <c r="K102" s="2" t="s">
        <v>534</v>
      </c>
    </row>
    <row r="103" customFormat="false" ht="46.25" hidden="false" customHeight="false" outlineLevel="0" collapsed="false">
      <c r="A103" s="2" t="s">
        <v>535</v>
      </c>
      <c r="B103" s="2" t="s">
        <v>326</v>
      </c>
      <c r="C103" s="2" t="s">
        <v>327</v>
      </c>
      <c r="D103" s="2" t="s">
        <v>491</v>
      </c>
      <c r="E103" s="2" t="s">
        <v>536</v>
      </c>
      <c r="F103" s="2" t="s">
        <v>537</v>
      </c>
      <c r="G103" s="2" t="s">
        <v>538</v>
      </c>
      <c r="H103" s="2" t="n">
        <v>8</v>
      </c>
      <c r="I103" s="2" t="s">
        <v>53</v>
      </c>
      <c r="J103" s="2" t="s">
        <v>303</v>
      </c>
      <c r="K103" s="2" t="s">
        <v>539</v>
      </c>
    </row>
  </sheetData>
  <autoFilter ref="A1:K10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60"/>
    <col collapsed="false" customWidth="true" hidden="false" outlineLevel="0" max="7" min="7" style="0" width="9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1" t="s">
        <v>540</v>
      </c>
      <c r="B1" s="1" t="s">
        <v>0</v>
      </c>
      <c r="C1" s="1" t="s">
        <v>1</v>
      </c>
      <c r="D1" s="1" t="s">
        <v>541</v>
      </c>
      <c r="E1" s="1" t="s">
        <v>542</v>
      </c>
      <c r="F1" s="1" t="s">
        <v>543</v>
      </c>
      <c r="G1" s="1" t="s">
        <v>9</v>
      </c>
      <c r="H1" s="1" t="s">
        <v>544</v>
      </c>
    </row>
    <row r="2" customFormat="false" ht="15" hidden="false" customHeight="false" outlineLevel="0" collapsed="false">
      <c r="A2" s="2" t="s">
        <v>545</v>
      </c>
      <c r="B2" s="2" t="s">
        <v>546</v>
      </c>
      <c r="C2" s="2" t="s">
        <v>170</v>
      </c>
      <c r="D2" s="2" t="s">
        <v>547</v>
      </c>
      <c r="E2" s="2" t="s">
        <v>548</v>
      </c>
      <c r="F2" s="2" t="s">
        <v>549</v>
      </c>
      <c r="G2" s="2" t="s">
        <v>550</v>
      </c>
      <c r="H2" s="2" t="s">
        <v>551</v>
      </c>
    </row>
    <row r="3" customFormat="false" ht="23.85" hidden="false" customHeight="false" outlineLevel="0" collapsed="false">
      <c r="A3" s="2" t="s">
        <v>552</v>
      </c>
      <c r="B3" s="2" t="s">
        <v>546</v>
      </c>
      <c r="C3" s="2" t="s">
        <v>170</v>
      </c>
      <c r="D3" s="2" t="s">
        <v>547</v>
      </c>
      <c r="E3" s="2" t="s">
        <v>553</v>
      </c>
      <c r="F3" s="2" t="s">
        <v>549</v>
      </c>
      <c r="G3" s="2" t="s">
        <v>550</v>
      </c>
      <c r="H3" s="2" t="s">
        <v>554</v>
      </c>
    </row>
    <row r="4" customFormat="false" ht="15" hidden="false" customHeight="false" outlineLevel="0" collapsed="false">
      <c r="A4" s="2" t="s">
        <v>555</v>
      </c>
      <c r="B4" s="2" t="s">
        <v>546</v>
      </c>
      <c r="C4" s="2" t="s">
        <v>170</v>
      </c>
      <c r="D4" s="2" t="s">
        <v>547</v>
      </c>
      <c r="E4" s="2" t="s">
        <v>556</v>
      </c>
      <c r="F4" s="2" t="s">
        <v>549</v>
      </c>
      <c r="G4" s="2" t="s">
        <v>550</v>
      </c>
      <c r="H4" s="2" t="s">
        <v>557</v>
      </c>
    </row>
    <row r="5" customFormat="false" ht="23.85" hidden="false" customHeight="false" outlineLevel="0" collapsed="false">
      <c r="A5" s="2" t="s">
        <v>558</v>
      </c>
      <c r="B5" s="2" t="s">
        <v>546</v>
      </c>
      <c r="C5" s="2" t="s">
        <v>170</v>
      </c>
      <c r="D5" s="2" t="s">
        <v>547</v>
      </c>
      <c r="E5" s="2" t="s">
        <v>559</v>
      </c>
      <c r="F5" s="2" t="s">
        <v>549</v>
      </c>
      <c r="G5" s="2" t="s">
        <v>550</v>
      </c>
      <c r="H5" s="2" t="s">
        <v>560</v>
      </c>
    </row>
    <row r="6" customFormat="false" ht="15" hidden="false" customHeight="false" outlineLevel="0" collapsed="false">
      <c r="A6" s="2" t="s">
        <v>561</v>
      </c>
      <c r="B6" s="2" t="s">
        <v>546</v>
      </c>
      <c r="C6" s="2" t="s">
        <v>170</v>
      </c>
      <c r="D6" s="2" t="s">
        <v>547</v>
      </c>
      <c r="E6" s="2" t="s">
        <v>562</v>
      </c>
      <c r="F6" s="2" t="s">
        <v>549</v>
      </c>
      <c r="G6" s="2" t="s">
        <v>550</v>
      </c>
      <c r="H6" s="2" t="s">
        <v>563</v>
      </c>
    </row>
    <row r="7" customFormat="false" ht="35.05" hidden="false" customHeight="false" outlineLevel="0" collapsed="false">
      <c r="A7" s="2" t="s">
        <v>564</v>
      </c>
      <c r="B7" s="2" t="s">
        <v>565</v>
      </c>
      <c r="C7" s="2" t="s">
        <v>91</v>
      </c>
      <c r="D7" s="2" t="s">
        <v>547</v>
      </c>
      <c r="E7" s="2" t="s">
        <v>566</v>
      </c>
      <c r="F7" s="2" t="s">
        <v>567</v>
      </c>
      <c r="G7" s="2" t="s">
        <v>550</v>
      </c>
      <c r="H7" s="2" t="s">
        <v>568</v>
      </c>
    </row>
    <row r="8" customFormat="false" ht="35.05" hidden="false" customHeight="false" outlineLevel="0" collapsed="false">
      <c r="A8" s="2" t="s">
        <v>569</v>
      </c>
      <c r="B8" s="2" t="s">
        <v>565</v>
      </c>
      <c r="C8" s="2" t="s">
        <v>91</v>
      </c>
      <c r="D8" s="2" t="s">
        <v>547</v>
      </c>
      <c r="E8" s="2" t="s">
        <v>570</v>
      </c>
      <c r="F8" s="2" t="s">
        <v>567</v>
      </c>
      <c r="G8" s="2" t="s">
        <v>550</v>
      </c>
      <c r="H8" s="2" t="s">
        <v>571</v>
      </c>
    </row>
    <row r="9" customFormat="false" ht="35.05" hidden="false" customHeight="false" outlineLevel="0" collapsed="false">
      <c r="A9" s="2" t="s">
        <v>572</v>
      </c>
      <c r="B9" s="2" t="s">
        <v>565</v>
      </c>
      <c r="C9" s="2" t="s">
        <v>91</v>
      </c>
      <c r="D9" s="2" t="s">
        <v>547</v>
      </c>
      <c r="E9" s="2" t="s">
        <v>573</v>
      </c>
      <c r="F9" s="2" t="s">
        <v>567</v>
      </c>
      <c r="G9" s="2" t="s">
        <v>550</v>
      </c>
      <c r="H9" s="2" t="s">
        <v>574</v>
      </c>
    </row>
    <row r="10" customFormat="false" ht="35.05" hidden="false" customHeight="false" outlineLevel="0" collapsed="false">
      <c r="A10" s="2" t="s">
        <v>575</v>
      </c>
      <c r="B10" s="2" t="s">
        <v>565</v>
      </c>
      <c r="C10" s="2" t="s">
        <v>91</v>
      </c>
      <c r="D10" s="2" t="s">
        <v>547</v>
      </c>
      <c r="E10" s="2" t="s">
        <v>576</v>
      </c>
      <c r="F10" s="2" t="s">
        <v>567</v>
      </c>
      <c r="G10" s="2" t="s">
        <v>550</v>
      </c>
      <c r="H10" s="2" t="s">
        <v>577</v>
      </c>
    </row>
    <row r="11" customFormat="false" ht="35.05" hidden="false" customHeight="false" outlineLevel="0" collapsed="false">
      <c r="A11" s="2" t="s">
        <v>578</v>
      </c>
      <c r="B11" s="2" t="s">
        <v>565</v>
      </c>
      <c r="C11" s="2" t="s">
        <v>91</v>
      </c>
      <c r="D11" s="2" t="s">
        <v>547</v>
      </c>
      <c r="E11" s="2" t="s">
        <v>579</v>
      </c>
      <c r="F11" s="2" t="s">
        <v>567</v>
      </c>
      <c r="G11" s="2" t="s">
        <v>550</v>
      </c>
      <c r="H11" s="2" t="s">
        <v>580</v>
      </c>
    </row>
    <row r="12" customFormat="false" ht="35.05" hidden="false" customHeight="false" outlineLevel="0" collapsed="false">
      <c r="A12" s="2" t="s">
        <v>581</v>
      </c>
      <c r="B12" s="2" t="s">
        <v>565</v>
      </c>
      <c r="C12" s="2" t="s">
        <v>91</v>
      </c>
      <c r="D12" s="2" t="s">
        <v>547</v>
      </c>
      <c r="E12" s="2" t="s">
        <v>582</v>
      </c>
      <c r="F12" s="2" t="s">
        <v>567</v>
      </c>
      <c r="G12" s="2" t="s">
        <v>550</v>
      </c>
      <c r="H12" s="2" t="s">
        <v>583</v>
      </c>
    </row>
    <row r="13" customFormat="false" ht="35.05" hidden="false" customHeight="false" outlineLevel="0" collapsed="false">
      <c r="A13" s="2" t="s">
        <v>584</v>
      </c>
      <c r="B13" s="2" t="s">
        <v>535</v>
      </c>
      <c r="C13" s="2" t="s">
        <v>199</v>
      </c>
      <c r="D13" s="2" t="s">
        <v>585</v>
      </c>
      <c r="E13" s="2" t="s">
        <v>586</v>
      </c>
      <c r="F13" s="2" t="s">
        <v>587</v>
      </c>
      <c r="G13" s="2" t="s">
        <v>550</v>
      </c>
      <c r="H13" s="2" t="s">
        <v>588</v>
      </c>
    </row>
    <row r="14" customFormat="false" ht="35.05" hidden="false" customHeight="false" outlineLevel="0" collapsed="false">
      <c r="A14" s="2" t="s">
        <v>589</v>
      </c>
      <c r="B14" s="2" t="s">
        <v>535</v>
      </c>
      <c r="C14" s="2" t="s">
        <v>199</v>
      </c>
      <c r="D14" s="2" t="s">
        <v>585</v>
      </c>
      <c r="E14" s="2" t="s">
        <v>590</v>
      </c>
      <c r="F14" s="2" t="s">
        <v>587</v>
      </c>
      <c r="G14" s="2" t="s">
        <v>550</v>
      </c>
      <c r="H14" s="2" t="s">
        <v>591</v>
      </c>
    </row>
    <row r="15" customFormat="false" ht="35.05" hidden="false" customHeight="false" outlineLevel="0" collapsed="false">
      <c r="A15" s="2" t="s">
        <v>592</v>
      </c>
      <c r="B15" s="2" t="s">
        <v>535</v>
      </c>
      <c r="C15" s="2" t="s">
        <v>199</v>
      </c>
      <c r="D15" s="2" t="s">
        <v>585</v>
      </c>
      <c r="E15" s="2" t="s">
        <v>593</v>
      </c>
      <c r="F15" s="2" t="s">
        <v>587</v>
      </c>
      <c r="G15" s="2" t="s">
        <v>550</v>
      </c>
      <c r="H15" s="2" t="s">
        <v>594</v>
      </c>
    </row>
    <row r="16" customFormat="false" ht="23.85" hidden="false" customHeight="false" outlineLevel="0" collapsed="false">
      <c r="A16" s="2" t="s">
        <v>595</v>
      </c>
      <c r="B16" s="2" t="s">
        <v>107</v>
      </c>
      <c r="C16" s="2" t="s">
        <v>91</v>
      </c>
      <c r="D16" s="2" t="s">
        <v>596</v>
      </c>
      <c r="E16" s="2" t="s">
        <v>597</v>
      </c>
      <c r="F16" s="2" t="s">
        <v>598</v>
      </c>
      <c r="G16" s="2" t="s">
        <v>550</v>
      </c>
      <c r="H16" s="2" t="s">
        <v>599</v>
      </c>
    </row>
    <row r="17" customFormat="false" ht="35.05" hidden="false" customHeight="false" outlineLevel="0" collapsed="false">
      <c r="A17" s="2" t="s">
        <v>600</v>
      </c>
      <c r="B17" s="2" t="s">
        <v>107</v>
      </c>
      <c r="C17" s="2" t="s">
        <v>91</v>
      </c>
      <c r="D17" s="2" t="s">
        <v>596</v>
      </c>
      <c r="E17" s="2" t="s">
        <v>601</v>
      </c>
      <c r="F17" s="2" t="s">
        <v>598</v>
      </c>
      <c r="G17" s="2" t="s">
        <v>550</v>
      </c>
      <c r="H17" s="2" t="s">
        <v>602</v>
      </c>
    </row>
    <row r="18" customFormat="false" ht="23.85" hidden="false" customHeight="false" outlineLevel="0" collapsed="false">
      <c r="A18" s="2" t="s">
        <v>603</v>
      </c>
      <c r="B18" s="2" t="s">
        <v>107</v>
      </c>
      <c r="C18" s="2" t="s">
        <v>91</v>
      </c>
      <c r="D18" s="2" t="s">
        <v>596</v>
      </c>
      <c r="E18" s="2" t="s">
        <v>604</v>
      </c>
      <c r="F18" s="2" t="s">
        <v>598</v>
      </c>
      <c r="G18" s="2" t="s">
        <v>550</v>
      </c>
      <c r="H18" s="2" t="s">
        <v>605</v>
      </c>
    </row>
    <row r="19" customFormat="false" ht="35.05" hidden="false" customHeight="false" outlineLevel="0" collapsed="false">
      <c r="A19" s="2" t="s">
        <v>606</v>
      </c>
      <c r="B19" s="2" t="s">
        <v>107</v>
      </c>
      <c r="C19" s="2" t="s">
        <v>91</v>
      </c>
      <c r="D19" s="2" t="s">
        <v>596</v>
      </c>
      <c r="E19" s="2" t="s">
        <v>607</v>
      </c>
      <c r="F19" s="2" t="s">
        <v>598</v>
      </c>
      <c r="G19" s="2" t="s">
        <v>550</v>
      </c>
      <c r="H19" s="2" t="s">
        <v>608</v>
      </c>
    </row>
    <row r="20" customFormat="false" ht="23.85" hidden="false" customHeight="false" outlineLevel="0" collapsed="false">
      <c r="A20" s="2" t="s">
        <v>609</v>
      </c>
      <c r="B20" s="2" t="s">
        <v>610</v>
      </c>
      <c r="C20" s="2" t="s">
        <v>259</v>
      </c>
      <c r="D20" s="2" t="s">
        <v>547</v>
      </c>
      <c r="E20" s="2" t="s">
        <v>611</v>
      </c>
      <c r="F20" s="2" t="s">
        <v>612</v>
      </c>
      <c r="G20" s="2" t="s">
        <v>550</v>
      </c>
      <c r="H20" s="2" t="s">
        <v>613</v>
      </c>
    </row>
    <row r="21" customFormat="false" ht="35.05" hidden="false" customHeight="false" outlineLevel="0" collapsed="false">
      <c r="A21" s="2" t="s">
        <v>614</v>
      </c>
      <c r="B21" s="2" t="s">
        <v>610</v>
      </c>
      <c r="C21" s="2" t="s">
        <v>259</v>
      </c>
      <c r="D21" s="2" t="s">
        <v>547</v>
      </c>
      <c r="E21" s="2" t="s">
        <v>615</v>
      </c>
      <c r="F21" s="2" t="s">
        <v>612</v>
      </c>
      <c r="G21" s="2" t="s">
        <v>550</v>
      </c>
      <c r="H21" s="2" t="s">
        <v>616</v>
      </c>
    </row>
    <row r="22" customFormat="false" ht="35.05" hidden="false" customHeight="false" outlineLevel="0" collapsed="false">
      <c r="A22" s="2" t="s">
        <v>617</v>
      </c>
      <c r="B22" s="2" t="s">
        <v>610</v>
      </c>
      <c r="C22" s="2" t="s">
        <v>259</v>
      </c>
      <c r="D22" s="2" t="s">
        <v>547</v>
      </c>
      <c r="E22" s="2" t="s">
        <v>618</v>
      </c>
      <c r="F22" s="2" t="s">
        <v>612</v>
      </c>
      <c r="G22" s="2" t="s">
        <v>550</v>
      </c>
      <c r="H22" s="2" t="s">
        <v>619</v>
      </c>
    </row>
    <row r="23" customFormat="false" ht="23.85" hidden="false" customHeight="false" outlineLevel="0" collapsed="false">
      <c r="A23" s="2" t="s">
        <v>620</v>
      </c>
      <c r="B23" s="2" t="s">
        <v>610</v>
      </c>
      <c r="C23" s="2" t="s">
        <v>259</v>
      </c>
      <c r="D23" s="2" t="s">
        <v>547</v>
      </c>
      <c r="E23" s="2" t="s">
        <v>621</v>
      </c>
      <c r="F23" s="2" t="s">
        <v>612</v>
      </c>
      <c r="G23" s="2" t="s">
        <v>550</v>
      </c>
      <c r="H23" s="2" t="s">
        <v>622</v>
      </c>
    </row>
    <row r="24" customFormat="false" ht="35.05" hidden="false" customHeight="false" outlineLevel="0" collapsed="false">
      <c r="A24" s="2" t="s">
        <v>623</v>
      </c>
      <c r="B24" s="2" t="s">
        <v>610</v>
      </c>
      <c r="C24" s="2" t="s">
        <v>259</v>
      </c>
      <c r="D24" s="2" t="s">
        <v>547</v>
      </c>
      <c r="E24" s="2" t="s">
        <v>624</v>
      </c>
      <c r="F24" s="2" t="s">
        <v>612</v>
      </c>
      <c r="G24" s="2" t="s">
        <v>550</v>
      </c>
      <c r="H24" s="2" t="s">
        <v>625</v>
      </c>
    </row>
    <row r="25" customFormat="false" ht="35.05" hidden="false" customHeight="false" outlineLevel="0" collapsed="false">
      <c r="A25" s="2" t="s">
        <v>626</v>
      </c>
      <c r="B25" s="2" t="s">
        <v>610</v>
      </c>
      <c r="C25" s="2" t="s">
        <v>259</v>
      </c>
      <c r="D25" s="2" t="s">
        <v>547</v>
      </c>
      <c r="E25" s="2" t="s">
        <v>627</v>
      </c>
      <c r="F25" s="2" t="s">
        <v>612</v>
      </c>
      <c r="G25" s="2" t="s">
        <v>550</v>
      </c>
      <c r="H25" s="2" t="s">
        <v>628</v>
      </c>
    </row>
    <row r="26" customFormat="false" ht="23.85" hidden="false" customHeight="false" outlineLevel="0" collapsed="false">
      <c r="A26" s="2" t="s">
        <v>629</v>
      </c>
      <c r="B26" s="2" t="s">
        <v>610</v>
      </c>
      <c r="C26" s="2" t="s">
        <v>259</v>
      </c>
      <c r="D26" s="2" t="s">
        <v>547</v>
      </c>
      <c r="E26" s="2" t="s">
        <v>630</v>
      </c>
      <c r="F26" s="2" t="s">
        <v>612</v>
      </c>
      <c r="G26" s="2" t="s">
        <v>550</v>
      </c>
      <c r="H26" s="2" t="s">
        <v>631</v>
      </c>
    </row>
    <row r="27" customFormat="false" ht="35.05" hidden="false" customHeight="false" outlineLevel="0" collapsed="false">
      <c r="A27" s="2" t="s">
        <v>632</v>
      </c>
      <c r="B27" s="2" t="s">
        <v>610</v>
      </c>
      <c r="C27" s="2" t="s">
        <v>259</v>
      </c>
      <c r="D27" s="2" t="s">
        <v>547</v>
      </c>
      <c r="E27" s="2" t="s">
        <v>633</v>
      </c>
      <c r="F27" s="2" t="s">
        <v>612</v>
      </c>
      <c r="G27" s="2" t="s">
        <v>550</v>
      </c>
      <c r="H27" s="2" t="s">
        <v>634</v>
      </c>
    </row>
    <row r="28" customFormat="false" ht="35.05" hidden="false" customHeight="false" outlineLevel="0" collapsed="false">
      <c r="A28" s="2" t="s">
        <v>635</v>
      </c>
      <c r="B28" s="2" t="s">
        <v>139</v>
      </c>
      <c r="C28" s="2" t="s">
        <v>118</v>
      </c>
      <c r="D28" s="2" t="s">
        <v>547</v>
      </c>
      <c r="E28" s="2" t="s">
        <v>636</v>
      </c>
      <c r="F28" s="2" t="s">
        <v>637</v>
      </c>
      <c r="G28" s="2" t="s">
        <v>550</v>
      </c>
      <c r="H28" s="2" t="s">
        <v>638</v>
      </c>
    </row>
    <row r="29" customFormat="false" ht="35.05" hidden="false" customHeight="false" outlineLevel="0" collapsed="false">
      <c r="A29" s="2" t="s">
        <v>639</v>
      </c>
      <c r="B29" s="2" t="s">
        <v>139</v>
      </c>
      <c r="C29" s="2" t="s">
        <v>118</v>
      </c>
      <c r="D29" s="2" t="s">
        <v>547</v>
      </c>
      <c r="E29" s="2" t="s">
        <v>640</v>
      </c>
      <c r="F29" s="2" t="s">
        <v>637</v>
      </c>
      <c r="G29" s="2" t="s">
        <v>550</v>
      </c>
      <c r="H29" s="2" t="s">
        <v>641</v>
      </c>
    </row>
    <row r="30" customFormat="false" ht="35.05" hidden="false" customHeight="false" outlineLevel="0" collapsed="false">
      <c r="A30" s="2" t="s">
        <v>642</v>
      </c>
      <c r="B30" s="2" t="s">
        <v>55</v>
      </c>
      <c r="C30" s="2" t="s">
        <v>48</v>
      </c>
      <c r="D30" s="2" t="s">
        <v>643</v>
      </c>
      <c r="E30" s="2" t="s">
        <v>644</v>
      </c>
      <c r="F30" s="2" t="s">
        <v>645</v>
      </c>
      <c r="G30" s="2" t="s">
        <v>550</v>
      </c>
      <c r="H30" s="2" t="s">
        <v>646</v>
      </c>
    </row>
    <row r="31" customFormat="false" ht="35.05" hidden="false" customHeight="false" outlineLevel="0" collapsed="false">
      <c r="A31" s="2" t="s">
        <v>647</v>
      </c>
      <c r="B31" s="2" t="s">
        <v>55</v>
      </c>
      <c r="C31" s="2" t="s">
        <v>48</v>
      </c>
      <c r="D31" s="2" t="s">
        <v>643</v>
      </c>
      <c r="E31" s="2" t="s">
        <v>644</v>
      </c>
      <c r="F31" s="2" t="s">
        <v>645</v>
      </c>
      <c r="G31" s="2" t="s">
        <v>550</v>
      </c>
      <c r="H31" s="2" t="s">
        <v>648</v>
      </c>
    </row>
    <row r="32" customFormat="false" ht="35.05" hidden="false" customHeight="false" outlineLevel="0" collapsed="false">
      <c r="A32" s="2" t="s">
        <v>649</v>
      </c>
      <c r="B32" s="2" t="s">
        <v>55</v>
      </c>
      <c r="C32" s="2" t="s">
        <v>48</v>
      </c>
      <c r="D32" s="2" t="s">
        <v>643</v>
      </c>
      <c r="E32" s="2" t="s">
        <v>644</v>
      </c>
      <c r="F32" s="2" t="s">
        <v>645</v>
      </c>
      <c r="G32" s="2" t="s">
        <v>550</v>
      </c>
      <c r="H32" s="2" t="s">
        <v>650</v>
      </c>
    </row>
    <row r="33" customFormat="false" ht="35.05" hidden="false" customHeight="false" outlineLevel="0" collapsed="false">
      <c r="A33" s="2" t="s">
        <v>651</v>
      </c>
      <c r="B33" s="2" t="s">
        <v>55</v>
      </c>
      <c r="C33" s="2" t="s">
        <v>48</v>
      </c>
      <c r="D33" s="2" t="s">
        <v>643</v>
      </c>
      <c r="E33" s="2" t="s">
        <v>644</v>
      </c>
      <c r="F33" s="2" t="s">
        <v>645</v>
      </c>
      <c r="G33" s="2" t="s">
        <v>550</v>
      </c>
      <c r="H33" s="2" t="s">
        <v>652</v>
      </c>
    </row>
    <row r="34" customFormat="false" ht="35.05" hidden="false" customHeight="false" outlineLevel="0" collapsed="false">
      <c r="A34" s="2" t="s">
        <v>653</v>
      </c>
      <c r="B34" s="2" t="s">
        <v>55</v>
      </c>
      <c r="C34" s="2" t="s">
        <v>48</v>
      </c>
      <c r="D34" s="2" t="s">
        <v>643</v>
      </c>
      <c r="E34" s="2" t="s">
        <v>644</v>
      </c>
      <c r="F34" s="2" t="s">
        <v>645</v>
      </c>
      <c r="G34" s="2" t="s">
        <v>550</v>
      </c>
      <c r="H34" s="2" t="s">
        <v>654</v>
      </c>
    </row>
    <row r="35" customFormat="false" ht="35.05" hidden="false" customHeight="false" outlineLevel="0" collapsed="false">
      <c r="A35" s="2" t="s">
        <v>655</v>
      </c>
      <c r="B35" s="2" t="s">
        <v>55</v>
      </c>
      <c r="C35" s="2" t="s">
        <v>48</v>
      </c>
      <c r="D35" s="2" t="s">
        <v>643</v>
      </c>
      <c r="E35" s="2" t="s">
        <v>644</v>
      </c>
      <c r="F35" s="2" t="s">
        <v>645</v>
      </c>
      <c r="G35" s="2" t="s">
        <v>550</v>
      </c>
      <c r="H35" s="2" t="s">
        <v>656</v>
      </c>
    </row>
    <row r="36" customFormat="false" ht="35.05" hidden="false" customHeight="false" outlineLevel="0" collapsed="false">
      <c r="A36" s="2" t="s">
        <v>657</v>
      </c>
      <c r="B36" s="2" t="s">
        <v>55</v>
      </c>
      <c r="C36" s="2" t="s">
        <v>48</v>
      </c>
      <c r="D36" s="2" t="s">
        <v>643</v>
      </c>
      <c r="E36" s="2" t="s">
        <v>644</v>
      </c>
      <c r="F36" s="2" t="s">
        <v>645</v>
      </c>
      <c r="G36" s="2" t="s">
        <v>550</v>
      </c>
      <c r="H36" s="2" t="s">
        <v>658</v>
      </c>
    </row>
    <row r="37" customFormat="false" ht="35.05" hidden="false" customHeight="false" outlineLevel="0" collapsed="false">
      <c r="A37" s="2" t="s">
        <v>659</v>
      </c>
      <c r="B37" s="2" t="s">
        <v>55</v>
      </c>
      <c r="C37" s="2" t="s">
        <v>48</v>
      </c>
      <c r="D37" s="2" t="s">
        <v>643</v>
      </c>
      <c r="E37" s="2" t="s">
        <v>644</v>
      </c>
      <c r="F37" s="2" t="s">
        <v>645</v>
      </c>
      <c r="G37" s="2" t="s">
        <v>550</v>
      </c>
      <c r="H37" s="2" t="s">
        <v>660</v>
      </c>
    </row>
    <row r="38" customFormat="false" ht="35.05" hidden="false" customHeight="false" outlineLevel="0" collapsed="false">
      <c r="A38" s="2" t="s">
        <v>661</v>
      </c>
      <c r="B38" s="2" t="s">
        <v>55</v>
      </c>
      <c r="C38" s="2" t="s">
        <v>48</v>
      </c>
      <c r="D38" s="2" t="s">
        <v>643</v>
      </c>
      <c r="E38" s="2" t="s">
        <v>644</v>
      </c>
      <c r="F38" s="2" t="s">
        <v>645</v>
      </c>
      <c r="G38" s="2" t="s">
        <v>550</v>
      </c>
      <c r="H38" s="2" t="s">
        <v>662</v>
      </c>
    </row>
    <row r="39" customFormat="false" ht="35.05" hidden="false" customHeight="false" outlineLevel="0" collapsed="false">
      <c r="A39" s="2" t="s">
        <v>663</v>
      </c>
      <c r="B39" s="2" t="s">
        <v>55</v>
      </c>
      <c r="C39" s="2" t="s">
        <v>48</v>
      </c>
      <c r="D39" s="2" t="s">
        <v>643</v>
      </c>
      <c r="E39" s="2" t="s">
        <v>644</v>
      </c>
      <c r="F39" s="2" t="s">
        <v>645</v>
      </c>
      <c r="G39" s="2" t="s">
        <v>550</v>
      </c>
      <c r="H39" s="2" t="s">
        <v>664</v>
      </c>
    </row>
    <row r="40" customFormat="false" ht="35.05" hidden="false" customHeight="false" outlineLevel="0" collapsed="false">
      <c r="A40" s="2" t="s">
        <v>665</v>
      </c>
      <c r="B40" s="2" t="s">
        <v>55</v>
      </c>
      <c r="C40" s="2" t="s">
        <v>48</v>
      </c>
      <c r="D40" s="2" t="s">
        <v>643</v>
      </c>
      <c r="E40" s="2" t="s">
        <v>644</v>
      </c>
      <c r="F40" s="2" t="s">
        <v>645</v>
      </c>
      <c r="G40" s="2" t="s">
        <v>550</v>
      </c>
      <c r="H40" s="2" t="s">
        <v>666</v>
      </c>
    </row>
    <row r="41" customFormat="false" ht="35.05" hidden="false" customHeight="false" outlineLevel="0" collapsed="false">
      <c r="A41" s="2" t="s">
        <v>667</v>
      </c>
      <c r="B41" s="2" t="s">
        <v>55</v>
      </c>
      <c r="C41" s="2" t="s">
        <v>48</v>
      </c>
      <c r="D41" s="2" t="s">
        <v>643</v>
      </c>
      <c r="E41" s="2" t="s">
        <v>644</v>
      </c>
      <c r="F41" s="2" t="s">
        <v>645</v>
      </c>
      <c r="G41" s="2" t="s">
        <v>550</v>
      </c>
      <c r="H41" s="2" t="s">
        <v>668</v>
      </c>
    </row>
    <row r="42" customFormat="false" ht="35.05" hidden="false" customHeight="false" outlineLevel="0" collapsed="false">
      <c r="A42" s="2" t="s">
        <v>669</v>
      </c>
      <c r="B42" s="2" t="s">
        <v>55</v>
      </c>
      <c r="C42" s="2" t="s">
        <v>48</v>
      </c>
      <c r="D42" s="2" t="s">
        <v>643</v>
      </c>
      <c r="E42" s="2" t="s">
        <v>644</v>
      </c>
      <c r="F42" s="2" t="s">
        <v>645</v>
      </c>
      <c r="G42" s="2" t="s">
        <v>550</v>
      </c>
      <c r="H42" s="2" t="s">
        <v>670</v>
      </c>
    </row>
    <row r="43" customFormat="false" ht="35.05" hidden="false" customHeight="false" outlineLevel="0" collapsed="false">
      <c r="A43" s="2" t="s">
        <v>671</v>
      </c>
      <c r="B43" s="2" t="s">
        <v>55</v>
      </c>
      <c r="C43" s="2" t="s">
        <v>48</v>
      </c>
      <c r="D43" s="2" t="s">
        <v>643</v>
      </c>
      <c r="E43" s="2" t="s">
        <v>644</v>
      </c>
      <c r="F43" s="2" t="s">
        <v>645</v>
      </c>
      <c r="G43" s="2" t="s">
        <v>550</v>
      </c>
      <c r="H43" s="2" t="s">
        <v>672</v>
      </c>
    </row>
    <row r="44" customFormat="false" ht="35.05" hidden="false" customHeight="false" outlineLevel="0" collapsed="false">
      <c r="A44" s="2" t="s">
        <v>673</v>
      </c>
      <c r="B44" s="2" t="s">
        <v>55</v>
      </c>
      <c r="C44" s="2" t="s">
        <v>48</v>
      </c>
      <c r="D44" s="2" t="s">
        <v>643</v>
      </c>
      <c r="E44" s="2" t="s">
        <v>644</v>
      </c>
      <c r="F44" s="2" t="s">
        <v>645</v>
      </c>
      <c r="G44" s="2" t="s">
        <v>550</v>
      </c>
      <c r="H44" s="2" t="s">
        <v>674</v>
      </c>
    </row>
    <row r="45" customFormat="false" ht="35.05" hidden="false" customHeight="false" outlineLevel="0" collapsed="false">
      <c r="A45" s="2" t="s">
        <v>675</v>
      </c>
      <c r="B45" s="2" t="s">
        <v>55</v>
      </c>
      <c r="C45" s="2" t="s">
        <v>48</v>
      </c>
      <c r="D45" s="2" t="s">
        <v>643</v>
      </c>
      <c r="E45" s="2" t="s">
        <v>644</v>
      </c>
      <c r="F45" s="2" t="s">
        <v>645</v>
      </c>
      <c r="G45" s="2" t="s">
        <v>550</v>
      </c>
      <c r="H45" s="2" t="s">
        <v>676</v>
      </c>
    </row>
    <row r="46" customFormat="false" ht="35.05" hidden="false" customHeight="false" outlineLevel="0" collapsed="false">
      <c r="A46" s="2" t="s">
        <v>677</v>
      </c>
      <c r="B46" s="2" t="s">
        <v>55</v>
      </c>
      <c r="C46" s="2" t="s">
        <v>48</v>
      </c>
      <c r="D46" s="2" t="s">
        <v>643</v>
      </c>
      <c r="E46" s="2" t="s">
        <v>644</v>
      </c>
      <c r="F46" s="2" t="s">
        <v>645</v>
      </c>
      <c r="G46" s="2" t="s">
        <v>550</v>
      </c>
      <c r="H46" s="2" t="s">
        <v>678</v>
      </c>
    </row>
    <row r="47" customFormat="false" ht="35.05" hidden="false" customHeight="false" outlineLevel="0" collapsed="false">
      <c r="A47" s="2" t="s">
        <v>679</v>
      </c>
      <c r="B47" s="2" t="s">
        <v>55</v>
      </c>
      <c r="C47" s="2" t="s">
        <v>48</v>
      </c>
      <c r="D47" s="2" t="s">
        <v>643</v>
      </c>
      <c r="E47" s="2" t="s">
        <v>644</v>
      </c>
      <c r="F47" s="2" t="s">
        <v>645</v>
      </c>
      <c r="G47" s="2" t="s">
        <v>550</v>
      </c>
      <c r="H47" s="2" t="s">
        <v>680</v>
      </c>
    </row>
    <row r="48" customFormat="false" ht="35.05" hidden="false" customHeight="false" outlineLevel="0" collapsed="false">
      <c r="A48" s="2" t="s">
        <v>681</v>
      </c>
      <c r="B48" s="2" t="s">
        <v>55</v>
      </c>
      <c r="C48" s="2" t="s">
        <v>48</v>
      </c>
      <c r="D48" s="2" t="s">
        <v>643</v>
      </c>
      <c r="E48" s="2" t="s">
        <v>644</v>
      </c>
      <c r="F48" s="2" t="s">
        <v>645</v>
      </c>
      <c r="G48" s="2" t="s">
        <v>550</v>
      </c>
      <c r="H48" s="2" t="s">
        <v>682</v>
      </c>
    </row>
    <row r="49" customFormat="false" ht="35.05" hidden="false" customHeight="false" outlineLevel="0" collapsed="false">
      <c r="A49" s="2" t="s">
        <v>683</v>
      </c>
      <c r="B49" s="2" t="s">
        <v>55</v>
      </c>
      <c r="C49" s="2" t="s">
        <v>48</v>
      </c>
      <c r="D49" s="2" t="s">
        <v>643</v>
      </c>
      <c r="E49" s="2" t="s">
        <v>644</v>
      </c>
      <c r="F49" s="2" t="s">
        <v>645</v>
      </c>
      <c r="G49" s="2" t="s">
        <v>550</v>
      </c>
      <c r="H49" s="2" t="s">
        <v>684</v>
      </c>
    </row>
    <row r="50" customFormat="false" ht="35.05" hidden="false" customHeight="false" outlineLevel="0" collapsed="false">
      <c r="A50" s="2" t="s">
        <v>685</v>
      </c>
      <c r="B50" s="2" t="s">
        <v>55</v>
      </c>
      <c r="C50" s="2" t="s">
        <v>48</v>
      </c>
      <c r="D50" s="2" t="s">
        <v>643</v>
      </c>
      <c r="E50" s="2" t="s">
        <v>644</v>
      </c>
      <c r="F50" s="2" t="s">
        <v>645</v>
      </c>
      <c r="G50" s="2" t="s">
        <v>550</v>
      </c>
      <c r="H50" s="2" t="s">
        <v>686</v>
      </c>
    </row>
    <row r="51" customFormat="false" ht="35.05" hidden="false" customHeight="false" outlineLevel="0" collapsed="false">
      <c r="A51" s="2" t="s">
        <v>687</v>
      </c>
      <c r="B51" s="2" t="s">
        <v>55</v>
      </c>
      <c r="C51" s="2" t="s">
        <v>48</v>
      </c>
      <c r="D51" s="2" t="s">
        <v>643</v>
      </c>
      <c r="E51" s="2" t="s">
        <v>644</v>
      </c>
      <c r="F51" s="2" t="s">
        <v>645</v>
      </c>
      <c r="G51" s="2" t="s">
        <v>550</v>
      </c>
      <c r="H51" s="2" t="s">
        <v>688</v>
      </c>
    </row>
    <row r="52" customFormat="false" ht="35.05" hidden="false" customHeight="false" outlineLevel="0" collapsed="false">
      <c r="A52" s="2" t="s">
        <v>689</v>
      </c>
      <c r="B52" s="2" t="s">
        <v>55</v>
      </c>
      <c r="C52" s="2" t="s">
        <v>48</v>
      </c>
      <c r="D52" s="2" t="s">
        <v>643</v>
      </c>
      <c r="E52" s="2" t="s">
        <v>644</v>
      </c>
      <c r="F52" s="2" t="s">
        <v>645</v>
      </c>
      <c r="G52" s="2" t="s">
        <v>550</v>
      </c>
      <c r="H52" s="2" t="s">
        <v>690</v>
      </c>
    </row>
    <row r="53" customFormat="false" ht="35.05" hidden="false" customHeight="false" outlineLevel="0" collapsed="false">
      <c r="A53" s="2" t="s">
        <v>691</v>
      </c>
      <c r="B53" s="2" t="s">
        <v>55</v>
      </c>
      <c r="C53" s="2" t="s">
        <v>48</v>
      </c>
      <c r="D53" s="2" t="s">
        <v>643</v>
      </c>
      <c r="E53" s="2" t="s">
        <v>644</v>
      </c>
      <c r="F53" s="2" t="s">
        <v>645</v>
      </c>
      <c r="G53" s="2" t="s">
        <v>550</v>
      </c>
      <c r="H53" s="2" t="s">
        <v>692</v>
      </c>
    </row>
    <row r="54" customFormat="false" ht="35.05" hidden="false" customHeight="false" outlineLevel="0" collapsed="false">
      <c r="A54" s="2" t="s">
        <v>693</v>
      </c>
      <c r="B54" s="2" t="s">
        <v>55</v>
      </c>
      <c r="C54" s="2" t="s">
        <v>48</v>
      </c>
      <c r="D54" s="2" t="s">
        <v>643</v>
      </c>
      <c r="E54" s="2" t="s">
        <v>644</v>
      </c>
      <c r="F54" s="2" t="s">
        <v>645</v>
      </c>
      <c r="G54" s="2" t="s">
        <v>550</v>
      </c>
      <c r="H54" s="2" t="s">
        <v>694</v>
      </c>
    </row>
    <row r="55" customFormat="false" ht="35.05" hidden="false" customHeight="false" outlineLevel="0" collapsed="false">
      <c r="A55" s="2" t="s">
        <v>695</v>
      </c>
      <c r="B55" s="2" t="s">
        <v>55</v>
      </c>
      <c r="C55" s="2" t="s">
        <v>48</v>
      </c>
      <c r="D55" s="2" t="s">
        <v>643</v>
      </c>
      <c r="E55" s="2" t="s">
        <v>644</v>
      </c>
      <c r="F55" s="2" t="s">
        <v>645</v>
      </c>
      <c r="G55" s="2" t="s">
        <v>550</v>
      </c>
      <c r="H55" s="2" t="s">
        <v>696</v>
      </c>
    </row>
    <row r="56" customFormat="false" ht="35.05" hidden="false" customHeight="false" outlineLevel="0" collapsed="false">
      <c r="A56" s="2" t="s">
        <v>697</v>
      </c>
      <c r="B56" s="2" t="s">
        <v>55</v>
      </c>
      <c r="C56" s="2" t="s">
        <v>48</v>
      </c>
      <c r="D56" s="2" t="s">
        <v>643</v>
      </c>
      <c r="E56" s="2" t="s">
        <v>644</v>
      </c>
      <c r="F56" s="2" t="s">
        <v>645</v>
      </c>
      <c r="G56" s="2" t="s">
        <v>550</v>
      </c>
      <c r="H56" s="2" t="s">
        <v>698</v>
      </c>
    </row>
    <row r="57" customFormat="false" ht="35.05" hidden="false" customHeight="false" outlineLevel="0" collapsed="false">
      <c r="A57" s="2" t="s">
        <v>699</v>
      </c>
      <c r="B57" s="2" t="s">
        <v>55</v>
      </c>
      <c r="C57" s="2" t="s">
        <v>48</v>
      </c>
      <c r="D57" s="2" t="s">
        <v>643</v>
      </c>
      <c r="E57" s="2" t="s">
        <v>644</v>
      </c>
      <c r="F57" s="2" t="s">
        <v>645</v>
      </c>
      <c r="G57" s="2" t="s">
        <v>550</v>
      </c>
      <c r="H57" s="2" t="s">
        <v>700</v>
      </c>
    </row>
    <row r="58" customFormat="false" ht="35.05" hidden="false" customHeight="false" outlineLevel="0" collapsed="false">
      <c r="A58" s="2" t="s">
        <v>701</v>
      </c>
      <c r="B58" s="2" t="s">
        <v>55</v>
      </c>
      <c r="C58" s="2" t="s">
        <v>48</v>
      </c>
      <c r="D58" s="2" t="s">
        <v>643</v>
      </c>
      <c r="E58" s="2" t="s">
        <v>644</v>
      </c>
      <c r="F58" s="2" t="s">
        <v>645</v>
      </c>
      <c r="G58" s="2" t="s">
        <v>550</v>
      </c>
      <c r="H58" s="2" t="s">
        <v>702</v>
      </c>
    </row>
    <row r="59" customFormat="false" ht="35.05" hidden="false" customHeight="false" outlineLevel="0" collapsed="false">
      <c r="A59" s="2" t="s">
        <v>703</v>
      </c>
      <c r="B59" s="2" t="s">
        <v>55</v>
      </c>
      <c r="C59" s="2" t="s">
        <v>48</v>
      </c>
      <c r="D59" s="2" t="s">
        <v>643</v>
      </c>
      <c r="E59" s="2" t="s">
        <v>704</v>
      </c>
      <c r="F59" s="2" t="s">
        <v>645</v>
      </c>
      <c r="G59" s="2" t="s">
        <v>550</v>
      </c>
      <c r="H59" s="2" t="s">
        <v>705</v>
      </c>
    </row>
    <row r="60" customFormat="false" ht="35.05" hidden="false" customHeight="false" outlineLevel="0" collapsed="false">
      <c r="A60" s="2" t="s">
        <v>706</v>
      </c>
      <c r="B60" s="2" t="s">
        <v>707</v>
      </c>
      <c r="C60" s="2" t="s">
        <v>199</v>
      </c>
      <c r="D60" s="2" t="s">
        <v>708</v>
      </c>
      <c r="E60" s="2" t="s">
        <v>709</v>
      </c>
      <c r="F60" s="2" t="s">
        <v>710</v>
      </c>
      <c r="G60" s="2" t="s">
        <v>550</v>
      </c>
      <c r="H60" s="2" t="s">
        <v>711</v>
      </c>
    </row>
    <row r="61" customFormat="false" ht="35.05" hidden="false" customHeight="false" outlineLevel="0" collapsed="false">
      <c r="A61" s="2" t="s">
        <v>712</v>
      </c>
      <c r="B61" s="2" t="s">
        <v>707</v>
      </c>
      <c r="C61" s="2" t="s">
        <v>199</v>
      </c>
      <c r="D61" s="2" t="s">
        <v>708</v>
      </c>
      <c r="E61" s="2" t="s">
        <v>713</v>
      </c>
      <c r="F61" s="2" t="s">
        <v>710</v>
      </c>
      <c r="G61" s="2" t="s">
        <v>550</v>
      </c>
      <c r="H61" s="2" t="s">
        <v>714</v>
      </c>
    </row>
    <row r="62" customFormat="false" ht="35.05" hidden="false" customHeight="false" outlineLevel="0" collapsed="false">
      <c r="A62" s="2" t="s">
        <v>715</v>
      </c>
      <c r="B62" s="2" t="s">
        <v>707</v>
      </c>
      <c r="C62" s="2" t="s">
        <v>199</v>
      </c>
      <c r="D62" s="2" t="s">
        <v>708</v>
      </c>
      <c r="E62" s="2" t="s">
        <v>716</v>
      </c>
      <c r="F62" s="2" t="s">
        <v>710</v>
      </c>
      <c r="G62" s="2" t="s">
        <v>550</v>
      </c>
      <c r="H62" s="2" t="s">
        <v>717</v>
      </c>
    </row>
    <row r="63" customFormat="false" ht="35.05" hidden="false" customHeight="false" outlineLevel="0" collapsed="false">
      <c r="A63" s="2" t="s">
        <v>718</v>
      </c>
      <c r="B63" s="2" t="s">
        <v>707</v>
      </c>
      <c r="C63" s="2" t="s">
        <v>199</v>
      </c>
      <c r="D63" s="2" t="s">
        <v>708</v>
      </c>
      <c r="E63" s="2" t="s">
        <v>719</v>
      </c>
      <c r="F63" s="2" t="s">
        <v>710</v>
      </c>
      <c r="G63" s="2" t="s">
        <v>550</v>
      </c>
      <c r="H63" s="2" t="s">
        <v>720</v>
      </c>
    </row>
    <row r="64" customFormat="false" ht="35.05" hidden="false" customHeight="false" outlineLevel="0" collapsed="false">
      <c r="A64" s="2" t="s">
        <v>721</v>
      </c>
      <c r="B64" s="2" t="s">
        <v>707</v>
      </c>
      <c r="C64" s="2" t="s">
        <v>199</v>
      </c>
      <c r="D64" s="2" t="s">
        <v>708</v>
      </c>
      <c r="E64" s="2" t="s">
        <v>722</v>
      </c>
      <c r="F64" s="2" t="s">
        <v>710</v>
      </c>
      <c r="G64" s="2" t="s">
        <v>550</v>
      </c>
      <c r="H64" s="2" t="s">
        <v>723</v>
      </c>
    </row>
    <row r="65" customFormat="false" ht="35.05" hidden="false" customHeight="false" outlineLevel="0" collapsed="false">
      <c r="A65" s="2" t="s">
        <v>724</v>
      </c>
      <c r="B65" s="2" t="s">
        <v>707</v>
      </c>
      <c r="C65" s="2" t="s">
        <v>199</v>
      </c>
      <c r="D65" s="2" t="s">
        <v>708</v>
      </c>
      <c r="E65" s="2" t="s">
        <v>725</v>
      </c>
      <c r="F65" s="2" t="s">
        <v>710</v>
      </c>
      <c r="G65" s="2" t="s">
        <v>550</v>
      </c>
      <c r="H65" s="2" t="s">
        <v>726</v>
      </c>
    </row>
    <row r="66" customFormat="false" ht="35.05" hidden="false" customHeight="false" outlineLevel="0" collapsed="false">
      <c r="A66" s="2" t="s">
        <v>727</v>
      </c>
      <c r="B66" s="2" t="s">
        <v>707</v>
      </c>
      <c r="C66" s="2" t="s">
        <v>199</v>
      </c>
      <c r="D66" s="2" t="s">
        <v>708</v>
      </c>
      <c r="E66" s="2" t="s">
        <v>728</v>
      </c>
      <c r="F66" s="2" t="s">
        <v>710</v>
      </c>
      <c r="G66" s="2" t="s">
        <v>550</v>
      </c>
      <c r="H66" s="2" t="s">
        <v>729</v>
      </c>
    </row>
    <row r="67" customFormat="false" ht="35.05" hidden="false" customHeight="false" outlineLevel="0" collapsed="false">
      <c r="A67" s="2" t="s">
        <v>730</v>
      </c>
      <c r="B67" s="2" t="s">
        <v>731</v>
      </c>
      <c r="C67" s="2" t="s">
        <v>170</v>
      </c>
      <c r="D67" s="2" t="s">
        <v>732</v>
      </c>
      <c r="E67" s="2" t="s">
        <v>733</v>
      </c>
      <c r="F67" s="2" t="s">
        <v>734</v>
      </c>
      <c r="G67" s="2" t="s">
        <v>550</v>
      </c>
      <c r="H67" s="2" t="s">
        <v>735</v>
      </c>
    </row>
    <row r="68" customFormat="false" ht="23.85" hidden="false" customHeight="false" outlineLevel="0" collapsed="false">
      <c r="A68" s="2" t="s">
        <v>736</v>
      </c>
      <c r="B68" s="2" t="s">
        <v>731</v>
      </c>
      <c r="C68" s="2" t="s">
        <v>170</v>
      </c>
      <c r="D68" s="2" t="s">
        <v>732</v>
      </c>
      <c r="E68" s="2" t="s">
        <v>737</v>
      </c>
      <c r="F68" s="2" t="s">
        <v>734</v>
      </c>
      <c r="G68" s="2" t="s">
        <v>550</v>
      </c>
      <c r="H68" s="2" t="s">
        <v>738</v>
      </c>
    </row>
    <row r="69" customFormat="false" ht="35.05" hidden="false" customHeight="false" outlineLevel="0" collapsed="false">
      <c r="A69" s="2" t="s">
        <v>739</v>
      </c>
      <c r="B69" s="2" t="s">
        <v>731</v>
      </c>
      <c r="C69" s="2" t="s">
        <v>170</v>
      </c>
      <c r="D69" s="2" t="s">
        <v>732</v>
      </c>
      <c r="E69" s="2" t="s">
        <v>740</v>
      </c>
      <c r="F69" s="2" t="s">
        <v>734</v>
      </c>
      <c r="G69" s="2" t="s">
        <v>550</v>
      </c>
      <c r="H69" s="2" t="s">
        <v>741</v>
      </c>
    </row>
    <row r="70" customFormat="false" ht="23.85" hidden="false" customHeight="false" outlineLevel="0" collapsed="false">
      <c r="A70" s="2" t="s">
        <v>742</v>
      </c>
      <c r="B70" s="2" t="s">
        <v>731</v>
      </c>
      <c r="C70" s="2" t="s">
        <v>170</v>
      </c>
      <c r="D70" s="2" t="s">
        <v>732</v>
      </c>
      <c r="E70" s="2" t="s">
        <v>743</v>
      </c>
      <c r="F70" s="2" t="s">
        <v>734</v>
      </c>
      <c r="G70" s="2" t="s">
        <v>550</v>
      </c>
      <c r="H70" s="2" t="s">
        <v>744</v>
      </c>
    </row>
    <row r="71" customFormat="false" ht="23.85" hidden="false" customHeight="false" outlineLevel="0" collapsed="false">
      <c r="A71" s="2" t="s">
        <v>745</v>
      </c>
      <c r="B71" s="2" t="s">
        <v>731</v>
      </c>
      <c r="C71" s="2" t="s">
        <v>170</v>
      </c>
      <c r="D71" s="2" t="s">
        <v>732</v>
      </c>
      <c r="E71" s="2" t="s">
        <v>746</v>
      </c>
      <c r="F71" s="2" t="s">
        <v>734</v>
      </c>
      <c r="G71" s="2" t="s">
        <v>550</v>
      </c>
      <c r="H71" s="2" t="s">
        <v>747</v>
      </c>
    </row>
    <row r="72" customFormat="false" ht="23.85" hidden="false" customHeight="false" outlineLevel="0" collapsed="false">
      <c r="A72" s="2" t="s">
        <v>748</v>
      </c>
      <c r="B72" s="2" t="s">
        <v>731</v>
      </c>
      <c r="C72" s="2" t="s">
        <v>170</v>
      </c>
      <c r="D72" s="2" t="s">
        <v>732</v>
      </c>
      <c r="E72" s="2" t="s">
        <v>749</v>
      </c>
      <c r="F72" s="2" t="s">
        <v>734</v>
      </c>
      <c r="G72" s="2" t="s">
        <v>550</v>
      </c>
      <c r="H72" s="2" t="s">
        <v>750</v>
      </c>
    </row>
    <row r="73" customFormat="false" ht="35.05" hidden="false" customHeight="false" outlineLevel="0" collapsed="false">
      <c r="A73" s="2" t="s">
        <v>751</v>
      </c>
      <c r="B73" s="2" t="s">
        <v>731</v>
      </c>
      <c r="C73" s="2" t="s">
        <v>170</v>
      </c>
      <c r="D73" s="2" t="s">
        <v>732</v>
      </c>
      <c r="E73" s="2" t="s">
        <v>752</v>
      </c>
      <c r="F73" s="2" t="s">
        <v>734</v>
      </c>
      <c r="G73" s="2" t="s">
        <v>550</v>
      </c>
      <c r="H73" s="2" t="s">
        <v>753</v>
      </c>
    </row>
    <row r="74" customFormat="false" ht="23.85" hidden="false" customHeight="false" outlineLevel="0" collapsed="false">
      <c r="A74" s="2" t="s">
        <v>754</v>
      </c>
      <c r="B74" s="2" t="s">
        <v>731</v>
      </c>
      <c r="C74" s="2" t="s">
        <v>170</v>
      </c>
      <c r="D74" s="2" t="s">
        <v>732</v>
      </c>
      <c r="E74" s="2" t="s">
        <v>755</v>
      </c>
      <c r="F74" s="2" t="s">
        <v>734</v>
      </c>
      <c r="G74" s="2" t="s">
        <v>550</v>
      </c>
      <c r="H74" s="2" t="s">
        <v>756</v>
      </c>
    </row>
    <row r="75" customFormat="false" ht="35.05" hidden="false" customHeight="false" outlineLevel="0" collapsed="false">
      <c r="A75" s="2" t="s">
        <v>757</v>
      </c>
      <c r="B75" s="2" t="s">
        <v>731</v>
      </c>
      <c r="C75" s="2" t="s">
        <v>170</v>
      </c>
      <c r="D75" s="2" t="s">
        <v>732</v>
      </c>
      <c r="E75" s="2" t="s">
        <v>758</v>
      </c>
      <c r="F75" s="2" t="s">
        <v>734</v>
      </c>
      <c r="G75" s="2" t="s">
        <v>550</v>
      </c>
      <c r="H75" s="2" t="s">
        <v>759</v>
      </c>
    </row>
    <row r="76" customFormat="false" ht="23.85" hidden="false" customHeight="false" outlineLevel="0" collapsed="false">
      <c r="A76" s="2" t="s">
        <v>760</v>
      </c>
      <c r="B76" s="2" t="s">
        <v>731</v>
      </c>
      <c r="C76" s="2" t="s">
        <v>170</v>
      </c>
      <c r="D76" s="2" t="s">
        <v>732</v>
      </c>
      <c r="E76" s="2" t="s">
        <v>761</v>
      </c>
      <c r="F76" s="2" t="s">
        <v>734</v>
      </c>
      <c r="G76" s="2" t="s">
        <v>550</v>
      </c>
      <c r="H76" s="2" t="s">
        <v>762</v>
      </c>
    </row>
    <row r="77" customFormat="false" ht="23.85" hidden="false" customHeight="false" outlineLevel="0" collapsed="false">
      <c r="A77" s="2" t="s">
        <v>763</v>
      </c>
      <c r="B77" s="2" t="s">
        <v>731</v>
      </c>
      <c r="C77" s="2" t="s">
        <v>170</v>
      </c>
      <c r="D77" s="2" t="s">
        <v>732</v>
      </c>
      <c r="E77" s="2" t="s">
        <v>764</v>
      </c>
      <c r="F77" s="2" t="s">
        <v>734</v>
      </c>
      <c r="G77" s="2" t="s">
        <v>550</v>
      </c>
      <c r="H77" s="2" t="s">
        <v>765</v>
      </c>
    </row>
    <row r="78" customFormat="false" ht="23.85" hidden="false" customHeight="false" outlineLevel="0" collapsed="false">
      <c r="A78" s="2" t="s">
        <v>766</v>
      </c>
      <c r="B78" s="2" t="s">
        <v>47</v>
      </c>
      <c r="C78" s="2" t="s">
        <v>48</v>
      </c>
      <c r="D78" s="2" t="s">
        <v>585</v>
      </c>
      <c r="E78" s="2" t="s">
        <v>767</v>
      </c>
      <c r="F78" s="2" t="s">
        <v>768</v>
      </c>
      <c r="G78" s="2" t="s">
        <v>550</v>
      </c>
      <c r="H78" s="2" t="s">
        <v>769</v>
      </c>
    </row>
    <row r="79" customFormat="false" ht="35.05" hidden="false" customHeight="false" outlineLevel="0" collapsed="false">
      <c r="A79" s="2" t="s">
        <v>770</v>
      </c>
      <c r="B79" s="2" t="s">
        <v>47</v>
      </c>
      <c r="C79" s="2" t="s">
        <v>48</v>
      </c>
      <c r="D79" s="2" t="s">
        <v>585</v>
      </c>
      <c r="E79" s="2" t="s">
        <v>771</v>
      </c>
      <c r="F79" s="2" t="s">
        <v>768</v>
      </c>
      <c r="G79" s="2" t="s">
        <v>550</v>
      </c>
      <c r="H79" s="2" t="s">
        <v>772</v>
      </c>
    </row>
    <row r="80" customFormat="false" ht="35.05" hidden="false" customHeight="false" outlineLevel="0" collapsed="false">
      <c r="A80" s="2" t="s">
        <v>773</v>
      </c>
      <c r="B80" s="2" t="s">
        <v>47</v>
      </c>
      <c r="C80" s="2" t="s">
        <v>48</v>
      </c>
      <c r="D80" s="2" t="s">
        <v>585</v>
      </c>
      <c r="E80" s="2" t="s">
        <v>774</v>
      </c>
      <c r="F80" s="2" t="s">
        <v>768</v>
      </c>
      <c r="G80" s="2" t="s">
        <v>550</v>
      </c>
      <c r="H80" s="2" t="s">
        <v>775</v>
      </c>
    </row>
    <row r="81" customFormat="false" ht="35.05" hidden="false" customHeight="false" outlineLevel="0" collapsed="false">
      <c r="A81" s="2" t="s">
        <v>776</v>
      </c>
      <c r="B81" s="2" t="s">
        <v>47</v>
      </c>
      <c r="C81" s="2" t="s">
        <v>48</v>
      </c>
      <c r="D81" s="2" t="s">
        <v>585</v>
      </c>
      <c r="E81" s="2" t="s">
        <v>777</v>
      </c>
      <c r="F81" s="2" t="s">
        <v>768</v>
      </c>
      <c r="G81" s="2" t="s">
        <v>550</v>
      </c>
      <c r="H81" s="2" t="s">
        <v>778</v>
      </c>
    </row>
    <row r="82" customFormat="false" ht="35.05" hidden="false" customHeight="false" outlineLevel="0" collapsed="false">
      <c r="A82" s="2" t="s">
        <v>779</v>
      </c>
      <c r="B82" s="2" t="s">
        <v>47</v>
      </c>
      <c r="C82" s="2" t="s">
        <v>48</v>
      </c>
      <c r="D82" s="2" t="s">
        <v>585</v>
      </c>
      <c r="E82" s="2" t="s">
        <v>780</v>
      </c>
      <c r="F82" s="2" t="s">
        <v>768</v>
      </c>
      <c r="G82" s="2" t="s">
        <v>550</v>
      </c>
      <c r="H82" s="2" t="s">
        <v>781</v>
      </c>
    </row>
    <row r="83" customFormat="false" ht="35.05" hidden="false" customHeight="false" outlineLevel="0" collapsed="false">
      <c r="A83" s="2" t="s">
        <v>782</v>
      </c>
      <c r="B83" s="2" t="s">
        <v>47</v>
      </c>
      <c r="C83" s="2" t="s">
        <v>48</v>
      </c>
      <c r="D83" s="2" t="s">
        <v>585</v>
      </c>
      <c r="E83" s="2" t="s">
        <v>783</v>
      </c>
      <c r="F83" s="2" t="s">
        <v>768</v>
      </c>
      <c r="G83" s="2" t="s">
        <v>550</v>
      </c>
      <c r="H83" s="2" t="s">
        <v>784</v>
      </c>
    </row>
    <row r="84" customFormat="false" ht="35.05" hidden="false" customHeight="false" outlineLevel="0" collapsed="false">
      <c r="A84" s="2" t="s">
        <v>785</v>
      </c>
      <c r="B84" s="2" t="s">
        <v>786</v>
      </c>
      <c r="C84" s="2" t="s">
        <v>73</v>
      </c>
      <c r="D84" s="2" t="s">
        <v>787</v>
      </c>
      <c r="E84" s="2" t="s">
        <v>788</v>
      </c>
      <c r="F84" s="2" t="s">
        <v>789</v>
      </c>
      <c r="G84" s="2" t="s">
        <v>550</v>
      </c>
      <c r="H84" s="2" t="s">
        <v>790</v>
      </c>
    </row>
    <row r="85" customFormat="false" ht="23.85" hidden="false" customHeight="false" outlineLevel="0" collapsed="false">
      <c r="A85" s="2" t="s">
        <v>791</v>
      </c>
      <c r="B85" s="2" t="s">
        <v>786</v>
      </c>
      <c r="C85" s="2" t="s">
        <v>73</v>
      </c>
      <c r="D85" s="2" t="s">
        <v>787</v>
      </c>
      <c r="E85" s="2" t="s">
        <v>792</v>
      </c>
      <c r="F85" s="2" t="s">
        <v>789</v>
      </c>
      <c r="G85" s="2" t="s">
        <v>550</v>
      </c>
      <c r="H85" s="2" t="s">
        <v>793</v>
      </c>
    </row>
    <row r="86" customFormat="false" ht="35.05" hidden="false" customHeight="false" outlineLevel="0" collapsed="false">
      <c r="A86" s="2" t="s">
        <v>794</v>
      </c>
      <c r="B86" s="2" t="s">
        <v>786</v>
      </c>
      <c r="C86" s="2" t="s">
        <v>73</v>
      </c>
      <c r="D86" s="2" t="s">
        <v>787</v>
      </c>
      <c r="E86" s="2" t="s">
        <v>795</v>
      </c>
      <c r="F86" s="2" t="s">
        <v>789</v>
      </c>
      <c r="G86" s="2" t="s">
        <v>550</v>
      </c>
      <c r="H86" s="2" t="s">
        <v>796</v>
      </c>
    </row>
    <row r="87" customFormat="false" ht="35.05" hidden="false" customHeight="false" outlineLevel="0" collapsed="false">
      <c r="A87" s="2" t="s">
        <v>797</v>
      </c>
      <c r="B87" s="2" t="s">
        <v>786</v>
      </c>
      <c r="C87" s="2" t="s">
        <v>73</v>
      </c>
      <c r="D87" s="2" t="s">
        <v>787</v>
      </c>
      <c r="E87" s="2" t="s">
        <v>798</v>
      </c>
      <c r="F87" s="2" t="s">
        <v>789</v>
      </c>
      <c r="G87" s="2" t="s">
        <v>550</v>
      </c>
      <c r="H87" s="2" t="s">
        <v>799</v>
      </c>
    </row>
    <row r="88" customFormat="false" ht="35.05" hidden="false" customHeight="false" outlineLevel="0" collapsed="false">
      <c r="A88" s="2" t="s">
        <v>800</v>
      </c>
      <c r="B88" s="2" t="s">
        <v>786</v>
      </c>
      <c r="C88" s="2" t="s">
        <v>73</v>
      </c>
      <c r="D88" s="2" t="s">
        <v>787</v>
      </c>
      <c r="E88" s="2" t="s">
        <v>798</v>
      </c>
      <c r="F88" s="2" t="s">
        <v>789</v>
      </c>
      <c r="G88" s="2" t="s">
        <v>550</v>
      </c>
      <c r="H88" s="2" t="s">
        <v>801</v>
      </c>
    </row>
    <row r="89" customFormat="false" ht="35.05" hidden="false" customHeight="false" outlineLevel="0" collapsed="false">
      <c r="A89" s="2" t="s">
        <v>802</v>
      </c>
      <c r="B89" s="2" t="s">
        <v>786</v>
      </c>
      <c r="C89" s="2" t="s">
        <v>73</v>
      </c>
      <c r="D89" s="2" t="s">
        <v>787</v>
      </c>
      <c r="E89" s="2" t="s">
        <v>798</v>
      </c>
      <c r="F89" s="2" t="s">
        <v>789</v>
      </c>
      <c r="G89" s="2" t="s">
        <v>550</v>
      </c>
      <c r="H89" s="2" t="s">
        <v>803</v>
      </c>
    </row>
    <row r="90" customFormat="false" ht="35.05" hidden="false" customHeight="false" outlineLevel="0" collapsed="false">
      <c r="A90" s="2" t="s">
        <v>804</v>
      </c>
      <c r="B90" s="2" t="s">
        <v>786</v>
      </c>
      <c r="C90" s="2" t="s">
        <v>73</v>
      </c>
      <c r="D90" s="2" t="s">
        <v>787</v>
      </c>
      <c r="E90" s="2" t="s">
        <v>798</v>
      </c>
      <c r="F90" s="2" t="s">
        <v>789</v>
      </c>
      <c r="G90" s="2" t="s">
        <v>550</v>
      </c>
      <c r="H90" s="2" t="s">
        <v>805</v>
      </c>
    </row>
    <row r="91" customFormat="false" ht="35.05" hidden="false" customHeight="false" outlineLevel="0" collapsed="false">
      <c r="A91" s="2" t="s">
        <v>806</v>
      </c>
      <c r="B91" s="2" t="s">
        <v>786</v>
      </c>
      <c r="C91" s="2" t="s">
        <v>73</v>
      </c>
      <c r="D91" s="2" t="s">
        <v>787</v>
      </c>
      <c r="E91" s="2" t="s">
        <v>798</v>
      </c>
      <c r="F91" s="2" t="s">
        <v>789</v>
      </c>
      <c r="G91" s="2" t="s">
        <v>550</v>
      </c>
      <c r="H91" s="2" t="s">
        <v>807</v>
      </c>
    </row>
    <row r="92" customFormat="false" ht="35.05" hidden="false" customHeight="false" outlineLevel="0" collapsed="false">
      <c r="A92" s="2" t="s">
        <v>808</v>
      </c>
      <c r="B92" s="2" t="s">
        <v>786</v>
      </c>
      <c r="C92" s="2" t="s">
        <v>73</v>
      </c>
      <c r="D92" s="2" t="s">
        <v>787</v>
      </c>
      <c r="E92" s="2" t="s">
        <v>809</v>
      </c>
      <c r="F92" s="2" t="s">
        <v>789</v>
      </c>
      <c r="G92" s="2" t="s">
        <v>550</v>
      </c>
      <c r="H92" s="2" t="s">
        <v>810</v>
      </c>
    </row>
    <row r="93" customFormat="false" ht="23.85" hidden="false" customHeight="false" outlineLevel="0" collapsed="false">
      <c r="A93" s="2" t="s">
        <v>811</v>
      </c>
      <c r="B93" s="2" t="s">
        <v>786</v>
      </c>
      <c r="C93" s="2" t="s">
        <v>73</v>
      </c>
      <c r="D93" s="2" t="s">
        <v>787</v>
      </c>
      <c r="E93" s="2" t="s">
        <v>812</v>
      </c>
      <c r="F93" s="2" t="s">
        <v>789</v>
      </c>
      <c r="G93" s="2" t="s">
        <v>550</v>
      </c>
      <c r="H93" s="2" t="s">
        <v>813</v>
      </c>
    </row>
    <row r="94" customFormat="false" ht="23.85" hidden="false" customHeight="false" outlineLevel="0" collapsed="false">
      <c r="A94" s="2" t="s">
        <v>814</v>
      </c>
      <c r="B94" s="2" t="s">
        <v>270</v>
      </c>
      <c r="C94" s="2" t="s">
        <v>259</v>
      </c>
      <c r="D94" s="2" t="s">
        <v>815</v>
      </c>
      <c r="E94" s="2" t="s">
        <v>816</v>
      </c>
      <c r="F94" s="2" t="s">
        <v>817</v>
      </c>
      <c r="G94" s="2" t="s">
        <v>550</v>
      </c>
      <c r="H94" s="2" t="s">
        <v>818</v>
      </c>
    </row>
    <row r="95" customFormat="false" ht="23.85" hidden="false" customHeight="false" outlineLevel="0" collapsed="false">
      <c r="A95" s="2" t="s">
        <v>819</v>
      </c>
      <c r="B95" s="2" t="s">
        <v>270</v>
      </c>
      <c r="C95" s="2" t="s">
        <v>259</v>
      </c>
      <c r="D95" s="2" t="s">
        <v>815</v>
      </c>
      <c r="E95" s="2" t="s">
        <v>820</v>
      </c>
      <c r="F95" s="2" t="s">
        <v>821</v>
      </c>
      <c r="G95" s="2" t="s">
        <v>550</v>
      </c>
      <c r="H95" s="2" t="s">
        <v>822</v>
      </c>
    </row>
    <row r="96" customFormat="false" ht="15" hidden="false" customHeight="false" outlineLevel="0" collapsed="false">
      <c r="A96" s="2" t="s">
        <v>823</v>
      </c>
      <c r="B96" s="2" t="s">
        <v>177</v>
      </c>
      <c r="C96" s="2" t="s">
        <v>170</v>
      </c>
      <c r="D96" s="2" t="s">
        <v>815</v>
      </c>
      <c r="E96" s="2" t="s">
        <v>824</v>
      </c>
      <c r="F96" s="2" t="s">
        <v>825</v>
      </c>
      <c r="G96" s="2" t="s">
        <v>550</v>
      </c>
      <c r="H96" s="2" t="s">
        <v>826</v>
      </c>
    </row>
    <row r="97" customFormat="false" ht="23.85" hidden="false" customHeight="false" outlineLevel="0" collapsed="false">
      <c r="A97" s="2" t="s">
        <v>827</v>
      </c>
      <c r="B97" s="2" t="s">
        <v>210</v>
      </c>
      <c r="C97" s="2" t="s">
        <v>199</v>
      </c>
      <c r="D97" s="2" t="s">
        <v>828</v>
      </c>
      <c r="E97" s="2" t="s">
        <v>829</v>
      </c>
      <c r="F97" s="2" t="s">
        <v>830</v>
      </c>
      <c r="G97" s="2" t="s">
        <v>550</v>
      </c>
      <c r="H97" s="2" t="s">
        <v>831</v>
      </c>
    </row>
    <row r="98" customFormat="false" ht="23.85" hidden="false" customHeight="false" outlineLevel="0" collapsed="false">
      <c r="A98" s="2" t="s">
        <v>832</v>
      </c>
      <c r="B98" s="2" t="s">
        <v>833</v>
      </c>
      <c r="C98" s="2" t="s">
        <v>48</v>
      </c>
      <c r="D98" s="2" t="s">
        <v>828</v>
      </c>
      <c r="E98" s="2" t="s">
        <v>834</v>
      </c>
      <c r="F98" s="2" t="s">
        <v>835</v>
      </c>
      <c r="G98" s="2" t="s">
        <v>550</v>
      </c>
      <c r="H98" s="2" t="s">
        <v>836</v>
      </c>
    </row>
    <row r="99" customFormat="false" ht="23.85" hidden="false" customHeight="false" outlineLevel="0" collapsed="false">
      <c r="A99" s="2" t="s">
        <v>837</v>
      </c>
      <c r="B99" s="2" t="s">
        <v>164</v>
      </c>
      <c r="C99" s="2" t="s">
        <v>118</v>
      </c>
      <c r="D99" s="2" t="s">
        <v>828</v>
      </c>
      <c r="E99" s="2" t="s">
        <v>838</v>
      </c>
      <c r="F99" s="2" t="s">
        <v>839</v>
      </c>
      <c r="G99" s="2" t="s">
        <v>550</v>
      </c>
      <c r="H99" s="2" t="s">
        <v>840</v>
      </c>
    </row>
    <row r="100" customFormat="false" ht="23.85" hidden="false" customHeight="false" outlineLevel="0" collapsed="false">
      <c r="A100" s="2" t="s">
        <v>841</v>
      </c>
      <c r="B100" s="2" t="s">
        <v>315</v>
      </c>
      <c r="C100" s="2" t="s">
        <v>118</v>
      </c>
      <c r="D100" s="2" t="s">
        <v>828</v>
      </c>
      <c r="E100" s="2" t="s">
        <v>842</v>
      </c>
      <c r="F100" s="2" t="s">
        <v>843</v>
      </c>
      <c r="G100" s="2" t="s">
        <v>550</v>
      </c>
      <c r="H100" s="2" t="s">
        <v>844</v>
      </c>
    </row>
    <row r="101" customFormat="false" ht="23.85" hidden="false" customHeight="false" outlineLevel="0" collapsed="false">
      <c r="A101" s="2" t="s">
        <v>845</v>
      </c>
      <c r="B101" s="2" t="s">
        <v>72</v>
      </c>
      <c r="C101" s="2" t="s">
        <v>73</v>
      </c>
      <c r="D101" s="2" t="s">
        <v>828</v>
      </c>
      <c r="E101" s="2" t="s">
        <v>846</v>
      </c>
      <c r="F101" s="2" t="s">
        <v>847</v>
      </c>
      <c r="G101" s="2" t="s">
        <v>550</v>
      </c>
      <c r="H101" s="2" t="s">
        <v>848</v>
      </c>
    </row>
    <row r="102" customFormat="false" ht="23.85" hidden="false" customHeight="false" outlineLevel="0" collapsed="false">
      <c r="A102" s="2" t="s">
        <v>849</v>
      </c>
      <c r="B102" s="2" t="s">
        <v>850</v>
      </c>
      <c r="C102" s="2" t="s">
        <v>170</v>
      </c>
      <c r="D102" s="2" t="s">
        <v>851</v>
      </c>
      <c r="E102" s="2" t="s">
        <v>852</v>
      </c>
      <c r="F102" s="2" t="s">
        <v>853</v>
      </c>
      <c r="G102" s="2" t="s">
        <v>550</v>
      </c>
      <c r="H102" s="2" t="s">
        <v>854</v>
      </c>
    </row>
    <row r="103" customFormat="false" ht="23.85" hidden="false" customHeight="false" outlineLevel="0" collapsed="false">
      <c r="A103" s="2" t="s">
        <v>855</v>
      </c>
      <c r="B103" s="2" t="s">
        <v>253</v>
      </c>
      <c r="C103" s="2" t="s">
        <v>118</v>
      </c>
      <c r="D103" s="2" t="s">
        <v>851</v>
      </c>
      <c r="E103" s="2" t="s">
        <v>856</v>
      </c>
      <c r="F103" s="2" t="s">
        <v>857</v>
      </c>
      <c r="G103" s="2" t="s">
        <v>550</v>
      </c>
      <c r="H103" s="2" t="s">
        <v>858</v>
      </c>
    </row>
    <row r="104" customFormat="false" ht="23.85" hidden="false" customHeight="false" outlineLevel="0" collapsed="false">
      <c r="A104" s="2" t="s">
        <v>859</v>
      </c>
      <c r="B104" s="2" t="s">
        <v>281</v>
      </c>
      <c r="C104" s="2" t="s">
        <v>282</v>
      </c>
      <c r="D104" s="2" t="s">
        <v>828</v>
      </c>
      <c r="E104" s="2" t="s">
        <v>860</v>
      </c>
      <c r="F104" s="2" t="s">
        <v>861</v>
      </c>
      <c r="G104" s="2" t="s">
        <v>550</v>
      </c>
      <c r="H104" s="2" t="s">
        <v>862</v>
      </c>
    </row>
    <row r="105" customFormat="false" ht="15" hidden="false" customHeight="false" outlineLevel="0" collapsed="false">
      <c r="A105" s="2" t="s">
        <v>863</v>
      </c>
      <c r="B105" s="2" t="s">
        <v>139</v>
      </c>
      <c r="C105" s="2" t="s">
        <v>118</v>
      </c>
      <c r="D105" s="2" t="s">
        <v>828</v>
      </c>
      <c r="E105" s="2" t="s">
        <v>864</v>
      </c>
      <c r="F105" s="2" t="s">
        <v>865</v>
      </c>
      <c r="G105" s="2" t="s">
        <v>550</v>
      </c>
      <c r="H105" s="2" t="s">
        <v>866</v>
      </c>
    </row>
    <row r="106" customFormat="false" ht="15" hidden="false" customHeight="false" outlineLevel="0" collapsed="false">
      <c r="A106" s="2" t="s">
        <v>867</v>
      </c>
      <c r="B106" s="2" t="s">
        <v>42</v>
      </c>
      <c r="C106" s="2" t="s">
        <v>12</v>
      </c>
      <c r="D106" s="2" t="s">
        <v>868</v>
      </c>
      <c r="E106" s="2" t="s">
        <v>869</v>
      </c>
      <c r="F106" s="2" t="s">
        <v>870</v>
      </c>
      <c r="G106" s="2" t="s">
        <v>550</v>
      </c>
      <c r="H106" s="2" t="s">
        <v>871</v>
      </c>
    </row>
    <row r="107" customFormat="false" ht="23.85" hidden="false" customHeight="false" outlineLevel="0" collapsed="false">
      <c r="A107" s="2" t="s">
        <v>872</v>
      </c>
      <c r="B107" s="2" t="s">
        <v>305</v>
      </c>
      <c r="C107" s="2" t="s">
        <v>282</v>
      </c>
      <c r="D107" s="2" t="s">
        <v>851</v>
      </c>
      <c r="E107" s="2" t="s">
        <v>873</v>
      </c>
      <c r="F107" s="2" t="s">
        <v>874</v>
      </c>
      <c r="G107" s="2" t="s">
        <v>875</v>
      </c>
      <c r="H107" s="2" t="s">
        <v>876</v>
      </c>
    </row>
  </sheetData>
  <autoFilter ref="A1:H10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877</v>
      </c>
    </row>
    <row r="3" customFormat="false" ht="15" hidden="false" customHeight="false" outlineLevel="0" collapsed="false">
      <c r="A3" s="4" t="s">
        <v>878</v>
      </c>
      <c r="B3" s="5" t="n">
        <f aca="false">COUNTA('Story Status'!A:A)-1</f>
        <v>102</v>
      </c>
    </row>
    <row r="4" customFormat="false" ht="15" hidden="false" customHeight="false" outlineLevel="0" collapsed="false">
      <c r="A4" s="4" t="s">
        <v>19</v>
      </c>
      <c r="B4" s="5" t="n">
        <f aca="false">COUNTIF('Story Status'!J:J,"Done")</f>
        <v>56</v>
      </c>
    </row>
    <row r="5" customFormat="false" ht="15" hidden="false" customHeight="false" outlineLevel="0" collapsed="false">
      <c r="A5" s="4" t="s">
        <v>229</v>
      </c>
      <c r="B5" s="5" t="n">
        <f aca="false">COUNTIF('Story Status'!J:J,"Partial")</f>
        <v>2</v>
      </c>
    </row>
    <row r="6" customFormat="false" ht="15" hidden="false" customHeight="false" outlineLevel="0" collapsed="false">
      <c r="A6" s="4" t="s">
        <v>879</v>
      </c>
      <c r="B6" s="5" t="n">
        <f aca="false">COUNTIF('Story Status'!J:J,"Not Started")</f>
        <v>44</v>
      </c>
    </row>
    <row r="7" customFormat="false" ht="15" hidden="false" customHeight="false" outlineLevel="0" collapsed="false">
      <c r="A7" s="4" t="s">
        <v>880</v>
      </c>
      <c r="B7" s="5" t="n">
        <f aca="false">SUMIFS('Story Status'!H:H,'Story Status'!J:J,"Done")</f>
        <v>190</v>
      </c>
    </row>
    <row r="8" customFormat="false" ht="15" hidden="false" customHeight="false" outlineLevel="0" collapsed="false">
      <c r="A8" s="4" t="s">
        <v>881</v>
      </c>
      <c r="B8" s="5" t="n">
        <f aca="false">SUM('Story Status'!H:H)</f>
        <v>375</v>
      </c>
    </row>
    <row r="9" customFormat="false" ht="15" hidden="false" customHeight="false" outlineLevel="0" collapsed="false">
      <c r="A9" s="4" t="s">
        <v>882</v>
      </c>
      <c r="B9" s="5" t="n">
        <f aca="false">COUNTIFS('Test Cases'!D:D,"&lt;&gt;*Manual*",'Test Cases'!G:G,"Pass")</f>
        <v>100</v>
      </c>
    </row>
    <row r="10" customFormat="false" ht="15" hidden="false" customHeight="false" outlineLevel="0" collapsed="false">
      <c r="A10" s="4" t="s">
        <v>883</v>
      </c>
      <c r="B10" s="5" t="n">
        <f aca="false">COUNTIFS('Test Cases'!D:D,"*Manual*",'Test Cases'!G:G,"Pass")+COUNTIFS('Test Cases'!D:D,"System",'Test Cases'!G:G,"Pass")+COUNTIFS('Test Cases'!D:D,"Gate",'Test Cases'!G:G,"Pass")</f>
        <v>13</v>
      </c>
    </row>
    <row r="11" customFormat="false" ht="15" hidden="false" customHeight="false" outlineLevel="0" collapsed="false">
      <c r="A11" s="4" t="s">
        <v>884</v>
      </c>
      <c r="B11" s="5" t="n">
        <f aca="false">COUNTIF('Test Cases'!G:G,"Not Run")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2026-08-04T22:55:13Z</dcterms:created>
  <dc:creator>openpyxl</dc:creator>
  <dc:description/>
  <dc:language>en-CA</dc:language>
  <cp:lastModifiedBy/>
  <dcterms:modified xsi:type="dcterms:W3CDTF">2026-08-04T22:55:13Z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