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" sheetId="1" state="visible" r:id="rId3"/>
    <sheet name="Epics" sheetId="2" state="visible" r:id="rId4"/>
    <sheet name="Capacity" sheetId="3" state="visible" r:id="rId5"/>
  </sheets>
  <definedNames>
    <definedName function="false" hidden="true" localSheetId="2" name="_xlnm._FilterDatabase" vbProcedure="false">Capacity!$A$1:$F$6</definedName>
    <definedName function="false" hidden="true" localSheetId="1" name="_xlnm._FilterDatabase" vbProcedure="false">Epics!$A$1:$C$11</definedName>
    <definedName function="false" hidden="true" localSheetId="0" name="_xlnm._FilterDatabase" vbProcedure="false">Roadmap!$A$1:$I$73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<sst xmlns="http://schemas.openxmlformats.org/spreadsheetml/2006/main" count="647" uniqueCount="346">
  <si>
    <t xml:space="preserve">Story ID</t>
  </si>
  <si>
    <t xml:space="preserve">Epic</t>
  </si>
  <si>
    <t xml:space="preserve">Epic Name</t>
  </si>
  <si>
    <t xml:space="preserve">Sprint</t>
  </si>
  <si>
    <t xml:space="preserve">Title</t>
  </si>
  <si>
    <t xml:space="preserve">Description</t>
  </si>
  <si>
    <t xml:space="preserve">Acceptance Criteria</t>
  </si>
  <si>
    <t xml:space="preserve">Story Points</t>
  </si>
  <si>
    <t xml:space="preserve">Assigned Role</t>
  </si>
  <si>
    <t xml:space="preserve">REG-101</t>
  </si>
  <si>
    <t xml:space="preserve">E1</t>
  </si>
  <si>
    <t xml:space="preserve">Foundation &amp; Configuration Framework</t>
  </si>
  <si>
    <t xml:space="preserve">Sprint 1</t>
  </si>
  <si>
    <t xml:space="preserve">Project scaffolding &amp; CI test harness</t>
  </si>
  <si>
    <t xml:space="preserve">Stand up the regagg module inside the MCP server repo with an isolated pytest harness (in-memory DB + temp storage) runnable on every commit.</t>
  </si>
  <si>
    <t xml:space="preserve">Module imports cleanly inside host server; pytest suite runs offline in &lt;10s; CI-safe fixtures for DB and storage exist</t>
  </si>
  <si>
    <t xml:space="preserve">Backend Engineer</t>
  </si>
  <si>
    <t xml:space="preserve">REG-102</t>
  </si>
  <si>
    <t xml:space="preserve">Regulator configuration schema &amp; loader</t>
  </si>
  <si>
    <t xml:space="preserve">Strict pydantic model for per-regulator YAML (connector type, sources, fetch method, rate limits, doc-type rules, backfill cutoff) with a fail-fast loader.</t>
  </si>
  <si>
    <t xml:space="preserve">Invalid/unknown fields rejected at load; connector↔sources cross-validated; filename must match declared id; loader collects all errors for reporting</t>
  </si>
  <si>
    <t xml:space="preserve">REG-103</t>
  </si>
  <si>
    <t xml:space="preserve">Author 30 regulator configs + controlled taxonomy</t>
  </si>
  <si>
    <t xml:space="preserve">One YAML per regulator across CA/US/EU-UK/APAC/INTL plus the controlled tag taxonomy and global settings files.</t>
  </si>
  <si>
    <t xml:space="preserve">30 configs parse and validate; taxonomy doc-types match code constants; every source starts verified:false</t>
  </si>
  <si>
    <t xml:space="preserve">REG-104</t>
  </si>
  <si>
    <t xml:space="preserve">Corpus database schema (9 tables)</t>
  </si>
  <si>
    <t xml:space="preserve">SQLAlchemy models on the shared base for documents, versions, tags, edges, pending-edges, seen-URLs, runs, watermarks, regulators; matching hand-authored Postgres DDL.</t>
  </si>
  <si>
    <t xml:space="preserve">Tables auto-create on both SQLite and Postgres; one-current-per-doc expressible; FKs and CHECK constraints enforced; DDL file shipped</t>
  </si>
  <si>
    <t xml:space="preserve">REG-105</t>
  </si>
  <si>
    <t xml:space="preserve">Corpus storage layout over storage abstraction</t>
  </si>
  <si>
    <t xml:space="preserve">Normalized folder layout (current/archive/staging/_state per regulator) implemented over the host's local/S3 storage backend with artifact read/write helpers.</t>
  </si>
  <si>
    <t xml:space="preserve">Layout identical for all regulators; copy/delete tree operations work on local and S3 semantics; meta.json round-trips</t>
  </si>
  <si>
    <t xml:space="preserve">Full-stack Engineer</t>
  </si>
  <si>
    <t xml:space="preserve">REG-106</t>
  </si>
  <si>
    <t xml:space="preserve">Foundation verification gate</t>
  </si>
  <si>
    <t xml:space="preserve">A no-network CI gate proving configs parse, taxonomy is in sync, and all corpus tables register/create.</t>
  </si>
  <si>
    <t xml:space="preserve">Single command exits non-zero on any foundation defect; run in CI on every commit</t>
  </si>
  <si>
    <t xml:space="preserve">REG-107</t>
  </si>
  <si>
    <t xml:space="preserve">E4</t>
  </si>
  <si>
    <t xml:space="preserve">Source Verification &amp; Regulator Onboarding</t>
  </si>
  <si>
    <t xml:space="preserve">Source verification harness</t>
  </si>
  <si>
    <t xml:space="preserve">Automated verifier for every candidate source: reachability, content-type, parseability (incl. sitemap indexes), freshness; produces a per-regulator report.</t>
  </si>
  <si>
    <t xml:space="preserve">Pass/warn/fail per source with reasons; sitemap-index recognized; report renders to markdown; harness is the only authority for verified:true</t>
  </si>
  <si>
    <t xml:space="preserve">AI Engineer</t>
  </si>
  <si>
    <t xml:space="preserve">REG-108</t>
  </si>
  <si>
    <t xml:space="preserve">Fixture recorder &amp; per-regulator parse tests</t>
  </si>
  <si>
    <t xml:space="preserve">Record each regulator's real source payloads once and run every connector against its recording in CI.</t>
  </si>
  <si>
    <t xml:space="preserve">Fixtures recorded for all reachable regulators; parametrized test per regulator passes offline; recordings size-capped</t>
  </si>
  <si>
    <t xml:space="preserve">REG-109</t>
  </si>
  <si>
    <t xml:space="preserve">BA: source map validation &amp; regulator list sign-off</t>
  </si>
  <si>
    <t xml:space="preserve">Validate the proposed 30-regulator list and candidate sources against business priorities; obtain sign-off.</t>
  </si>
  <si>
    <t xml:space="preserve">Signed-off regulator list; discrepancies (dead feeds, blocked sites) logged as onboarding risks</t>
  </si>
  <si>
    <t xml:space="preserve">Business Analyst</t>
  </si>
  <si>
    <t xml:space="preserve">PM-S1</t>
  </si>
  <si>
    <t xml:space="preserve">PM: sprint ceremonies, RAID log, stakeholder reporting</t>
  </si>
  <si>
    <t xml:space="preserve">Recurring per-sprint PM allocation (~25%): planning, standups, review/retro, risk and dependency management.</t>
  </si>
  <si>
    <t xml:space="preserve">Ceremonies held; RAID log current; sprint report issued</t>
  </si>
  <si>
    <t xml:space="preserve">Project Manager</t>
  </si>
  <si>
    <t xml:space="preserve">REG-201</t>
  </si>
  <si>
    <t xml:space="preserve">E2</t>
  </si>
  <si>
    <t xml:space="preserve">Versioning &amp; Governed Storage</t>
  </si>
  <si>
    <t xml:space="preserve">Sprint 2</t>
  </si>
  <si>
    <t xml:space="preserve">Atomic versioning protocol (override→archive)</t>
  </si>
  <si>
    <t xml:space="preserve">Six-step crash-safe protocol: stage new version, record intent, copy current to timestamped archive, promote staging, finalize document row.</t>
  </si>
  <si>
    <t xml:space="preserve">New doc creates v1; changed content archives prior version and increments version; unchanged content is a no-op; document identity stable across revisions</t>
  </si>
  <si>
    <t xml:space="preserve">REG-202</t>
  </si>
  <si>
    <t xml:space="preserve">Crash-recovery reconciliation &amp; invariant audit</t>
  </si>
  <si>
    <t xml:space="preserve">Deterministic repair job that rolls half-applied updates forward, cleans orphan staging, and audits invariants (exactly one current per doc; archive append-only).</t>
  </si>
  <si>
    <t xml:space="preserve">After any induced crash, reconcile restores a clean state with zero committed-data loss; violations are reported, never silently fixed twice</t>
  </si>
  <si>
    <t xml:space="preserve">REG-203</t>
  </si>
  <si>
    <t xml:space="preserve">Chaos test suite for the versioning path</t>
  </si>
  <si>
    <t xml:space="preserve">Automated tests that kill the pipeline after every protocol step and assert full recovery.</t>
  </si>
  <si>
    <t xml:space="preserve">Crash injected at each of steps 1–5; invariants hold post-reconcile in all cases; reconcile idempotent</t>
  </si>
  <si>
    <t xml:space="preserve">REG-204</t>
  </si>
  <si>
    <t xml:space="preserve">E3</t>
  </si>
  <si>
    <t xml:space="preserve">Collection Engine</t>
  </si>
  <si>
    <t xml:space="preserve">Sitemap-diff connector</t>
  </si>
  <si>
    <t xml:space="preserve">Detect new/changed URLs from sitemap.xml (incl. index recursion) plus listing pages, with lastmod fast-path skipping and include/exclude filters.</t>
  </si>
  <si>
    <t xml:space="preserve">Sitemap+listing union deduplicated; known URLs with unchanged lastmod skipped; doc-type mapped from URL rules</t>
  </si>
  <si>
    <t xml:space="preserve">REG-205</t>
  </si>
  <si>
    <t xml:space="preserve">RSS/Atom connector</t>
  </si>
  <si>
    <t xml:space="preserve">Poll 1..n feeds per regulator with GUID→URL dedup, malformed-feed isolation, and backfill-cutoff filtering.</t>
  </si>
  <si>
    <t xml:space="preserve">Duplicate GUIDs collapse; items older than cutoff ignored; one bad feed never aborts others</t>
  </si>
  <si>
    <t xml:space="preserve">REG-206</t>
  </si>
  <si>
    <t xml:space="preserve">API connector &amp; Federal Register adapter</t>
  </si>
  <si>
    <t xml:space="preserve">Provider-adapter API connector; Federal Register: agency filters, explicit field selection, pagination to cutoff, sanctioned full-text URL, abstract capture.</t>
  </si>
  <si>
    <t xml:space="preserve">Paginates until backfill cutoff; emits reference numbers for dedup; requests raw_text_url+abstract explicitly (not in default fields)</t>
  </si>
  <si>
    <t xml:space="preserve">REG-207</t>
  </si>
  <si>
    <t xml:space="preserve">Fetch &amp; normalization layer</t>
  </si>
  <si>
    <t xml:space="preserve">Polite fetcher (UA, per-domain rate limit) converting HTML→markdown (boilerplate stripped) and PDF→markdown, detecting PDFs by magic bytes, flagging scanned files.</t>
  </si>
  <si>
    <t xml:space="preserve">HTML preserves headings/tables/links; .pdf URLs serving HTML are treated as HTML (magic-byte truth); scanned PDFs flagged ocr:true; content sha256 computed</t>
  </si>
  <si>
    <t xml:space="preserve">REG-208</t>
  </si>
  <si>
    <t xml:space="preserve">BA: provenance &amp; audit acceptance walkthrough</t>
  </si>
  <si>
    <t xml:space="preserve">Define and verify the governance chain a compliance reviewer needs: source URL, final URL, hash, timestamps, run attribution, raw original, version lineage.</t>
  </si>
  <si>
    <t xml:space="preserve">Walkthrough from rendered doc back to original bytes and run manifest demonstrated; gaps (post-redirect URL) closed</t>
  </si>
  <si>
    <t xml:space="preserve">PM-S2</t>
  </si>
  <si>
    <t xml:space="preserve">E5</t>
  </si>
  <si>
    <t xml:space="preserve">Orchestration, Operations &amp; Data Quality</t>
  </si>
  <si>
    <t xml:space="preserve">PM: sprint ceremonies &amp; reporting</t>
  </si>
  <si>
    <t xml:space="preserve">Recurring PM allocation.</t>
  </si>
  <si>
    <t xml:space="preserve">As S1</t>
  </si>
  <si>
    <t xml:space="preserve">REG-301</t>
  </si>
  <si>
    <t xml:space="preserve">Sprint 3</t>
  </si>
  <si>
    <t xml:space="preserve">End-to-end ingestion pipeline</t>
  </si>
  <si>
    <t xml:space="preserve">Wire detect→fetch→version→enrich→record per regulator: run manifests, seen-URL registry, per-URL error isolation, idempotent reruns.</t>
  </si>
  <si>
    <t xml:space="preserve">One bad document never fails a run; rerun same day is a no-op for unchanged content; manifest lists every URL with outcome; run row persisted</t>
  </si>
  <si>
    <t xml:space="preserve">REG-302</t>
  </si>
  <si>
    <t xml:space="preserve">Policy-PDF harvesting</t>
  </si>
  <si>
    <t xml:space="preserve">Extract same-domain PDF links from ingested HTML pages and ingest them as first-class policy documents (source_kind=policy_pdf), with per-page and per-run caps.</t>
  </si>
  <si>
    <t xml:space="preserve">PDFs enter the same versioning path; source_kind recorded; caps prevent runaway; 3/page, 40/run defaults</t>
  </si>
  <si>
    <t xml:space="preserve">REG-303</t>
  </si>
  <si>
    <t xml:space="preserve">Meta-source deduplication</t>
  </si>
  <si>
    <t xml:space="preserve">When the meta-source (Federal Register) lists a document an agency feed already provided, keep the agency copy canonical and skip the duplicate by reference number.</t>
  </si>
  <si>
    <t xml:space="preserve">Duplicate skipped and counted (deduped metric); no double-counting across fedreg/agency</t>
  </si>
  <si>
    <t xml:space="preserve">REG-304</t>
  </si>
  <si>
    <t xml:space="preserve">Fleet orchestrator</t>
  </si>
  <si>
    <t xml:space="preserve">Fan out one isolated run per active regulator; support rerun of all/subset/one for a chosen date; expose reconcile as an operation.</t>
  </si>
  <si>
    <t xml:space="preserve">One regulator's hard failure never blocks others; rerun records operator identity; reruns are idempotent</t>
  </si>
  <si>
    <t xml:space="preserve">REG-305</t>
  </si>
  <si>
    <t xml:space="preserve">Run status semantics &amp; live progress</t>
  </si>
  <si>
    <t xml:space="preserve">Humane statuses (failed only when nothing landed or &gt;20% errored) plus mid-run counter flushes so the UI can show live progress.</t>
  </si>
  <si>
    <t xml:space="preserve">Partial-error runs show success + error count; counters update at least every 10 documents during a run</t>
  </si>
  <si>
    <t xml:space="preserve">REG-306</t>
  </si>
  <si>
    <t xml:space="preserve">Pilot regulators end-to-end (OSFI, FRB, FedReg)</t>
  </si>
  <si>
    <t xml:space="preserve">Prove all three connector types live against the pilot trio, including a forced content change correctly archiving v1.</t>
  </si>
  <si>
    <t xml:space="preserve">All pilots ingest live; update archives prior version; fixtures recorded</t>
  </si>
  <si>
    <t xml:space="preserve">REG-307</t>
  </si>
  <si>
    <t xml:space="preserve">Onboarding wave 1 — fifteen fast regulators</t>
  </si>
  <si>
    <t xml:space="preserve">Verify sources and run first live ingestion for the non-giant regulators across all regions.</t>
  </si>
  <si>
    <t xml:space="preserve">Each has ≥1 verified source and a passing live run; failures triaged with per-URL evidence</t>
  </si>
  <si>
    <t xml:space="preserve">REG-308</t>
  </si>
  <si>
    <t xml:space="preserve">Crawl hardening</t>
  </si>
  <si>
    <t xml:space="preserve">Protect the fleet from pathological sources: sitemap byte cap, sitemap-index child cap, giants-last ordering with per-giant caps, tuned timeouts.</t>
  </si>
  <si>
    <t xml:space="preserve">A monster sitemap cannot hang a run (logged truncation); giants capped per run; hardening covered by tests</t>
  </si>
  <si>
    <t xml:space="preserve">REG-309</t>
  </si>
  <si>
    <t xml:space="preserve">Bot-block guard &amp; sanctioned fallbacks</t>
  </si>
  <si>
    <t xml:space="preserve">Detect anti-scraping block pages and fall back to official API abstract, else an honest metadata stub — provenance labels content_source; never store block-page garbage; never evade.</t>
  </si>
  <si>
    <t xml:space="preserve">Block page never stored as content; fallback chain full-text→abstract→stub; content_source recorded; zero recurring error storms</t>
  </si>
  <si>
    <t xml:space="preserve">REG-310</t>
  </si>
  <si>
    <t xml:space="preserve">E7</t>
  </si>
  <si>
    <t xml:space="preserve">Analyst &amp; Operator Dashboard</t>
  </si>
  <si>
    <t xml:space="preserve">BA: dashboard information architecture &amp; status vocabulary</t>
  </si>
  <si>
    <t xml:space="preserve">Define analyst/operator journeys, coverage semantics (fresh/stale/attention), and plain-language status labels for the UI.</t>
  </si>
  <si>
    <t xml:space="preserve">IA for 5 pages agreed; status color/meaning table documented</t>
  </si>
  <si>
    <t xml:space="preserve">PM-S3</t>
  </si>
  <si>
    <t xml:space="preserve">REG-401</t>
  </si>
  <si>
    <t xml:space="preserve">Sprint 4</t>
  </si>
  <si>
    <t xml:space="preserve">Dashboard data API</t>
  </si>
  <si>
    <t xml:space="preserve">Read endpoints backing every page: coverage tree with roll-ups, corpus browse with facets, changes feed, run overview with daily delta, version diff, inventory, jailed file explorer.</t>
  </si>
  <si>
    <t xml:space="preserve">All endpoints stateless and paginated where relevant; institution filters applied in SQL before LIMIT; fs endpoints jailed to corpus root</t>
  </si>
  <si>
    <t xml:space="preserve">REG-402</t>
  </si>
  <si>
    <t xml:space="preserve">Coverage page</t>
  </si>
  <si>
    <t xml:space="preserve">Region→institution expandable tree: web/PDF counts, new-in-window, last run, freshness pill, coverage-% vs source-advertised, per-row Run trigger.</t>
  </si>
  <si>
    <t xml:space="preserve">Coverage % shown per institution; staleness flagged per config threshold; Run button triggers a real audited run</t>
  </si>
  <si>
    <t xml:space="preserve">REG-403</t>
  </si>
  <si>
    <t xml:space="preserve">Corpus browser page</t>
  </si>
  <si>
    <t xml:space="preserve">Dedicated deep-linkable page: continent/institution/file-type/doc-type/status/date/search filters with live facet counts, title+reference+excerpt rows, source links, Published+Added columns, pagination.</t>
  </si>
  <si>
    <t xml:space="preserve">All filters server-side; facet counts reflect scope; row opens document drawer; 50/page with prev/next</t>
  </si>
  <si>
    <t xml:space="preserve">REG-404</t>
  </si>
  <si>
    <t xml:space="preserve">Collection-runs page</t>
  </si>
  <si>
    <t xml:space="preserve">Operations view: today's delta banner with pass-rate headline and failing-run digest, live active-run progress (5s polling), recent runs, daily delta history.</t>
  </si>
  <si>
    <t xml:space="preserve">Pass-rate = fetched/(fetched+errors); live counters tick during runs; every run links to its manifest</t>
  </si>
  <si>
    <t xml:space="preserve">REG-405</t>
  </si>
  <si>
    <t xml:space="preserve">E6</t>
  </si>
  <si>
    <t xml:space="preserve">Deterministic Enrichment &amp; Knowledge Graph</t>
  </si>
  <si>
    <t xml:space="preserve">Reference-number grammar &amp; citation mining</t>
  </si>
  <si>
    <t xml:space="preserve">Regex grammars for regulator identifiers (OSFI B/E-series, CAR/LAR chapters, SR letters, OCC bulletins, NI, APS, PS/CP/SS, RTS/ITS, BCBS…) extracting a document's own reference and its citations, with sentence-scoped supersede detection.</t>
  </si>
  <si>
    <t xml:space="preserve">Own-reference extracted from titles; citations classified supersedes vs references without cross-sentence bleed; adding a grammar is a table entry</t>
  </si>
  <si>
    <t xml:space="preserve">REG-406</t>
  </si>
  <si>
    <t xml:space="preserve">Cross-reference knowledge graph</t>
  </si>
  <si>
    <t xml:space="preserve">Resolve citations against the corpus into typed edges with confidence; supersedes edges flip target status; unresolved citations persist and retry nightly.</t>
  </si>
  <si>
    <t xml:space="preserve">Edges deduplicated; supersedes updates target to superseded; pending edges resolve when the target arrives</t>
  </si>
  <si>
    <t xml:space="preserve">REG-407</t>
  </si>
  <si>
    <t xml:space="preserve">Expected-inventory reconciliation (completeness proof)</t>
  </si>
  <si>
    <t xml:space="preserve">Per-regulator expected inventories (seeded: OSFI CAR/LAR/B/E series) reconciled against the corpus by reference then title; per-series present/missing report and API.</t>
  </si>
  <si>
    <t xml:space="preserve">Answers 'do we hold every chapter?' with named gaps; OSFI reconciles 30/30 after gap-fill</t>
  </si>
  <si>
    <t xml:space="preserve">REG-408</t>
  </si>
  <si>
    <t xml:space="preserve">Onboarding wave 2 — giants &amp; source remediation</t>
  </si>
  <si>
    <t xml:space="preserve">Onboard the large/broken regulators: capped depth-slicing for giants; fix dead feeds (FDIC), connector switches (HKMA + 5 RSS-dead regs → listing/sitemap), sitemap-index support (CSA).</t>
  </si>
  <si>
    <t xml:space="preserve">29/30 regulators verified and collecting; each fix re-verified by the harness; AMF escalated (not evaded)</t>
  </si>
  <si>
    <t xml:space="preserve">REG-409</t>
  </si>
  <si>
    <t xml:space="preserve">Targeted gap-fill runs</t>
  </si>
  <si>
    <t xml:space="preserve">URL-regex-scoped ingest (e.g. /en/guidance) so specific sections can be completed without full-site crawls; used to complete OSFI's guideline chapters.</t>
  </si>
  <si>
    <t xml:space="preserve">Scoped run ingests only matching URLs; OSFI guidance section filled (363 docs) driving inventory to complete</t>
  </si>
  <si>
    <t xml:space="preserve">REG-410</t>
  </si>
  <si>
    <t xml:space="preserve">BA: UAT round 1 (coverage/corpus/runs)</t>
  </si>
  <si>
    <t xml:space="preserve">Structured UAT of the first three pages against analyst/operator journeys; log and triage defects.</t>
  </si>
  <si>
    <t xml:space="preserve">UAT script executed; defects logged with severity; blocking defects fixed before sprint close</t>
  </si>
  <si>
    <t xml:space="preserve">PM-S4</t>
  </si>
  <si>
    <t xml:space="preserve">REG-501</t>
  </si>
  <si>
    <t xml:space="preserve">Sprint 5</t>
  </si>
  <si>
    <t xml:space="preserve">Changes / impact feed</t>
  </si>
  <si>
    <t xml:space="preserve">Analyst delta feed: NEW/REVISED/SUPERSEDED/DEADLINE cards grouped by day, filtered by region, institution, file type, change-type chips, and explicit date range — all server-side.</t>
  </si>
  <si>
    <t xml:space="preserve">Filters share coverage-tree dimensions; counts remain pre-kind-filter for tile toggles; feed matches DB deltas exactly</t>
  </si>
  <si>
    <t xml:space="preserve">REG-502</t>
  </si>
  <si>
    <t xml:space="preserve">Version diff viewer</t>
  </si>
  <si>
    <t xml:space="preserve">One-click unified diff between a document's current and previous archived version with added/removed counts, from the Changes feed and drawer.</t>
  </si>
  <si>
    <t xml:space="preserve">Diff renders color-coded; single-version docs report 'no diff' cleanly</t>
  </si>
  <si>
    <t xml:space="preserve">REG-503</t>
  </si>
  <si>
    <t xml:space="preserve">Rich document drawer</t>
  </si>
  <si>
    <t xml:space="preserve">Document view with tabs: rendered markdown (self-contained md→html, no CDN), summary, provenance rail (all governance fields incl. final URL/fetch method/content source), raw text.</t>
  </si>
  <si>
    <t xml:space="preserve">Headings/lists/tables/links render; provenance shows source URL clickable; raw preserved verbatim</t>
  </si>
  <si>
    <t xml:space="preserve">REG-504</t>
  </si>
  <si>
    <t xml:space="preserve">Corpus file Explorer</t>
  </si>
  <si>
    <t xml:space="preserve">Nested file-tree page mirroring disk (regulator→current|archive→doc_type→year→doc→artifacts) with lazy loading; text files open in drawer, originals download; API jailed to corpus root.</t>
  </si>
  <si>
    <t xml:space="preserve">Path traversal rejected (400); item counts and sizes shown; md renders rich</t>
  </si>
  <si>
    <t xml:space="preserve">REG-505</t>
  </si>
  <si>
    <t xml:space="preserve">Manual interjection &amp; upload lane</t>
  </si>
  <si>
    <t xml:space="preserve">Human override: add/update a document by URL fetch, pasted corrected markdown, or uploaded PDF/HTML — via UI modal, API, and CLI — through the identical versioning/provenance path, tagged manual and audited.</t>
  </si>
  <si>
    <t xml:space="preserve">Update archives prior version; operator identity recorded; run row visible; future crawls recognize the URL (no duplicates); 50MB upload cap</t>
  </si>
  <si>
    <t xml:space="preserve">REG-506</t>
  </si>
  <si>
    <t xml:space="preserve">E8</t>
  </si>
  <si>
    <t xml:space="preserve">MCP Tool Surface &amp; Security</t>
  </si>
  <si>
    <t xml:space="preserve">Content-plane MCP tools</t>
  </si>
  <si>
    <t xml:space="preserve">reg_search (filter-then-rank), reg_read (summary|full|meta|historical version), reg_tags, reg_whats_new, reg_graph — stateless, registered via config-driven dynamic discovery.</t>
  </si>
  <si>
    <t xml:space="preserve">All five discoverable and callable over MCP; filters applied before ranking; graph traversal cycle-safe depth≤3</t>
  </si>
  <si>
    <t xml:space="preserve">REG-507</t>
  </si>
  <si>
    <t xml:space="preserve">Index-plane MCP tools</t>
  </si>
  <si>
    <t xml:space="preserve">reg_coverage, reg_browse (metadata-only), reg_changes, reg_diff, reg_inventory, reg_runs_status, reg_trigger_run (mutating, guarded) — the answers content-RAG cannot give.</t>
  </si>
  <si>
    <t xml:space="preserve">All seven callable over MCP with the same filters as the UI; trigger refuses concurrent runs and records operator</t>
  </si>
  <si>
    <t xml:space="preserve">REG-508</t>
  </si>
  <si>
    <t xml:space="preserve">MCP security &amp; key lifecycle</t>
  </si>
  <si>
    <t xml:space="preserve">Authentication required for tools/call (discovery stays open); per-key tool allowlists enforced at the transport; scoped agent key issued, rotated, and stored DB-only (never committed).</t>
  </si>
  <si>
    <t xml:space="preserve">No-key and dead-key calls rejected; out-of-scope tool denied; in-scope tool works — four-way matrix verified; rotation procedure documented</t>
  </si>
  <si>
    <t xml:space="preserve">REG-509</t>
  </si>
  <si>
    <t xml:space="preserve">BA: UAT round 2 (changes/diff/explorer/manual)</t>
  </si>
  <si>
    <t xml:space="preserve">Structured UAT of the remaining pages and the manual lane.</t>
  </si>
  <si>
    <t xml:space="preserve">UAT script executed; defects triaged; sign-off recorded</t>
  </si>
  <si>
    <t xml:space="preserve">PM-S5</t>
  </si>
  <si>
    <t xml:space="preserve">REG-601</t>
  </si>
  <si>
    <t xml:space="preserve">E9</t>
  </si>
  <si>
    <t xml:space="preserve">Agentic Integration</t>
  </si>
  <si>
    <t xml:space="preserve">Sprint 6</t>
  </si>
  <si>
    <t xml:space="preserve">Markdown projection for the agent stack</t>
  </si>
  <si>
    <t xml:space="preserve">Maintain the corpus in the agent tools' consumption layout — data/markdown/{web|policy}/{regulator}/{doc_type}/{doc_id}.md with YAML frontmatter — via write-through on every ingest plus nightly resync self-heal.</t>
  </si>
  <si>
    <t xml:space="preserve">Every current document has exactly one projection file; frontmatter carries citation context; resync idempotent; history stays in canonical store</t>
  </si>
  <si>
    <t xml:space="preserve">REG-602</t>
  </si>
  <si>
    <t xml:space="preserve">Agent-platform MCP connectivity</t>
  </si>
  <si>
    <t xml:space="preserve">Connect the existing agent stack to the MCP endpoint with the scoped key; verify end-to-end tool calls and denial of out-of-scope tools.</t>
  </si>
  <si>
    <t xml:space="preserve">initialize/tools list/call verified from client side; connection details documented for the platform's custom-MCP dialog</t>
  </si>
  <si>
    <t xml:space="preserve">REG-603</t>
  </si>
  <si>
    <t xml:space="preserve">Chatbot enablement guide</t>
  </si>
  <si>
    <t xml:space="preserve">Author the integration guide: connection block, agent prompt pattern (narrow→read cheap→relate→freshness), non-negotiable citation rule, worked examples, honest limitations, go-live eval checklist.</t>
  </si>
  <si>
    <t xml:space="preserve">Guide sufficient for the chatbot team to integrate without our involvement</t>
  </si>
  <si>
    <t xml:space="preserve">REG-604</t>
  </si>
  <si>
    <t xml:space="preserve">Agent skills authoring</t>
  </si>
  <si>
    <t xml:space="preserve">Author skill definitions on the agent platform mapping to the tools: Daily Regulatory Briefing (reg_changes), Impact Analysis (reg_diff+reg_graph), Completeness Audit (reg_coverage+reg_inventory).</t>
  </si>
  <si>
    <t xml:space="preserve">Three skills live on the platform; each produces correct, cited output on test prompts</t>
  </si>
  <si>
    <t xml:space="preserve">REG-605</t>
  </si>
  <si>
    <t xml:space="preserve">Agent citation &amp; accuracy evaluation</t>
  </si>
  <si>
    <t xml:space="preserve">Run the 20-question eval across ≥8 regulators: every claim cited (regulator+reference+date+URL), superseded docs flagged with successor, out-of-corpus questions declined.</t>
  </si>
  <si>
    <t xml:space="preserve">Eval sheet completed with pass/fail per question; failures fed back into prompt/tool fixes</t>
  </si>
  <si>
    <t xml:space="preserve">REG-606</t>
  </si>
  <si>
    <t xml:space="preserve">Daily delta poller &amp; weekly deep run</t>
  </si>
  <si>
    <t xml:space="preserve">Single scheduler entrypoint: fleet delta ingest (giants depth-sliced), pending-edge resolution, integrity reconcile, projection resync, one-line delta summary; weekly --deep raises caps.</t>
  </si>
  <si>
    <t xml:space="preserve">One cron line each for daily/weekly; exit code signals invariant violations; every run visible in UI</t>
  </si>
  <si>
    <t xml:space="preserve">REG-607</t>
  </si>
  <si>
    <t xml:space="preserve">Backup &amp; restore</t>
  </si>
  <si>
    <t xml:space="preserve">Nightly consistent SQLite snapshot + hardlink-incremental corpus backup with 7-day retention; restore verified.</t>
  </si>
  <si>
    <t xml:space="preserve">Backup runs while server/crawls active; restore drill opens snapshot with full document count; retention enforced portably</t>
  </si>
  <si>
    <t xml:space="preserve">REG-608</t>
  </si>
  <si>
    <t xml:space="preserve">UX polish round</t>
  </si>
  <si>
    <t xml:space="preserve">Excerpt/description line + source links + Added date in corpus; PDF filename titles (incl. backfill); add-doc discoverability in top bar; rich-render defaults.</t>
  </si>
  <si>
    <t xml:space="preserve">No raw URLs as titles; every row shows an honest excerpt where text exists; date column always populated</t>
  </si>
  <si>
    <t xml:space="preserve">REG-609</t>
  </si>
  <si>
    <t xml:space="preserve">E10</t>
  </si>
  <si>
    <t xml:space="preserve">Future Enhancements (Backlog)</t>
  </si>
  <si>
    <t xml:space="preserve">Successor knowledge base</t>
  </si>
  <si>
    <t xml:space="preserve">Author the handover KB: start-here mental model, architecture/flows/schema, UI+tools reference, testing/ops runbook, known issues + war stories + roadmap.</t>
  </si>
  <si>
    <t xml:space="preserve">A new engineer/AI agent can operate and extend the system from the KB alone</t>
  </si>
  <si>
    <t xml:space="preserve">REG-610</t>
  </si>
  <si>
    <t xml:space="preserve">BA: final UAT &amp; product-owner acceptance</t>
  </si>
  <si>
    <t xml:space="preserve">End-to-end acceptance against the epic-level outcomes; PO sign-off for go-live.</t>
  </si>
  <si>
    <t xml:space="preserve">Acceptance record signed; open items dispositioned to backlog</t>
  </si>
  <si>
    <t xml:space="preserve">PM-S6</t>
  </si>
  <si>
    <t xml:space="preserve">PM: go/no-go readiness review &amp; handover</t>
  </si>
  <si>
    <t xml:space="preserve">Deployment readiness review, handover of runbooks/KB, closure report.</t>
  </si>
  <si>
    <t xml:space="preserve">Readiness review held; handover acknowledged</t>
  </si>
  <si>
    <t xml:space="preserve">REG-701</t>
  </si>
  <si>
    <t xml:space="preserve">Backlog</t>
  </si>
  <si>
    <t xml:space="preserve">Federal Register full text via govinfo.gov bulk data</t>
  </si>
  <si>
    <t xml:space="preserve">Replace abstract/stub fallback with sanctioned full text from GPO govinfo bulk repository (separate host built for programmatic bulk use).</t>
  </si>
  <si>
    <t xml:space="preserve">Full text for new FR docs; existing stubs self-heal to full text as revisions; no ToS risk</t>
  </si>
  <si>
    <t xml:space="preserve">REG-702</t>
  </si>
  <si>
    <t xml:space="preserve">Simple-mode overview landing page</t>
  </si>
  <si>
    <t xml:space="preserve">First-time-user landing: one plain-English headline, ≤4 tiles, one regulator×(web/PDF/today delta/health-dot) table; ops detail moves behind drill-ins; analyst vs operator modes.</t>
  </si>
  <si>
    <t xml:space="preserve">New user answers 'what do we have / what changed today / is it healthy' in &lt;10s without training</t>
  </si>
  <si>
    <t xml:space="preserve">REG-703</t>
  </si>
  <si>
    <t xml:space="preserve">Playwright fetch path for JS-heavy sites</t>
  </si>
  <si>
    <t xml:space="preserve">Browser-rendered fetching for regulators whose listings require JavaScript (MAS, some NYDFS).</t>
  </si>
  <si>
    <t xml:space="preserve">fetch:playwright configs ingest content where plain HTTP yields none</t>
  </si>
  <si>
    <t xml:space="preserve">REG-704</t>
  </si>
  <si>
    <t xml:space="preserve">PostgreSQL migration</t>
  </si>
  <si>
    <t xml:space="preserve">Flip db.type to Postgres using the shipped DDL; enable pg_trgm for title-similarity reference resolution.</t>
  </si>
  <si>
    <t xml:space="preserve">All tests green on Postgres; no write-lock contention during concurrent crawl+agent load</t>
  </si>
  <si>
    <t xml:space="preserve">REG-705</t>
  </si>
  <si>
    <t xml:space="preserve">Expected inventories for EBA / FCA / APRA</t>
  </si>
  <si>
    <t xml:space="preserve">Extend completeness proofs beyond OSFI using each regulator's official register/index.</t>
  </si>
  <si>
    <t xml:space="preserve">Per-series present/missing for 3 more regulators; gaps drive targeted gap-fills</t>
  </si>
  <si>
    <t xml:space="preserve">REG-706</t>
  </si>
  <si>
    <t xml:space="preserve">Weekly digest webhook</t>
  </si>
  <si>
    <t xml:space="preserve">Teams/email digest generated from the changes feed (per-desk filters).</t>
  </si>
  <si>
    <t xml:space="preserve">Scheduled digest delivered with citations; opt-in filters per audience</t>
  </si>
  <si>
    <t xml:space="preserve">REG-707</t>
  </si>
  <si>
    <t xml:space="preserve">AMF Québec access via official whitelisting</t>
  </si>
  <si>
    <t xml:space="preserve">Engage AMF for institutional IP/UA whitelisting (site bot-blocks all automation); fallback: licensed feed.</t>
  </si>
  <si>
    <t xml:space="preserve">AMF collecting via sanctioned access; zero evasion techniques used</t>
  </si>
  <si>
    <t xml:space="preserve">REG-708</t>
  </si>
  <si>
    <t xml:space="preserve">Production hardening</t>
  </si>
  <si>
    <t xml:space="preserve">Pre-exposure hardening: replace default admin credentials, TLS/reverse proxy, restricted bind, secrets management, key rotation SOP.</t>
  </si>
  <si>
    <t xml:space="preserve">Security checklist passed before any non-localhost exposure</t>
  </si>
  <si>
    <t xml:space="preserve">REG-709</t>
  </si>
  <si>
    <t xml:space="preserve">OCR for scanned policy PDFs</t>
  </si>
  <si>
    <t xml:space="preserve">Tesseract path for image-only PDFs (currently 6 docs, 97% extract fine without).</t>
  </si>
  <si>
    <t xml:space="preserve">ocr:true docs gain searchable text; volume-triggered (revisit if scanned share grows)</t>
  </si>
  <si>
    <t xml:space="preserve">REG-710</t>
  </si>
  <si>
    <t xml:space="preserve">LLM enrichment integration</t>
  </si>
  <si>
    <t xml:space="preserve">Wire the owner's LLM gateway into the enrichment slot: real summaries (summary.md), taxonomy topic tags, doc-type reclassification, date/deadline extraction; golden-set eval gates.</t>
  </si>
  <si>
    <t xml:space="preserve">Summaries replace excerpts; doc_type distribution reflects reality (not 90% announcement); deadline feed populated; eval ≥90% tagging accuracy</t>
  </si>
  <si>
    <t xml:space="preserve">Name</t>
  </si>
  <si>
    <t xml:space="preserve">Objective</t>
  </si>
  <si>
    <t xml:space="preserve">Config-driven skeleton: regulator-as-config YAML model, corpus database schema, storage layout, CI gates. Adding regulator #31 must never require code.</t>
  </si>
  <si>
    <t xml:space="preserve">The trust core: one current copy per document, append-only archive, crash-safe atomic override protocol, full provenance (source URL, hash, run attribution, raw original).</t>
  </si>
  <si>
    <t xml:space="preserve">Three stateless connector engines (sitemap-diff / RSS / API), fetch &amp; HTML/PDF→markdown normalization, PDF harvesting, dedup, pagination, crawl hardening.</t>
  </si>
  <si>
    <t xml:space="preserve">No source is trusted until the verification harness passes it. Onboard all 30 regulators with recorded test fixtures and provable completeness (expected-inventory reconciliation).</t>
  </si>
  <si>
    <t xml:space="preserve">Fleet fan-out with failure isolation, humane run statuses, live progress, daily delta pollers, manual interjection lane, backups, bot-block fallbacks.</t>
  </si>
  <si>
    <t xml:space="preserve">No-LLM enrichment: reference-number grammars per regulator, citation mining into a supersedes/references graph, expected-inventory completeness checks.</t>
  </si>
  <si>
    <t xml:space="preserve">Five-page UI: Coverage tree with coverage-%, Corpus browser, file Explorer, Changes/impact feed with diffs, Collection-runs monitor with live counters.</t>
  </si>
  <si>
    <t xml:space="preserve">Twelve stateless reg_* MCP tools (content + index planes), API-key lifecycle, authentication required for execution, per-key tool allowlists enforced.</t>
  </si>
  <si>
    <t xml:space="preserve">Plug the corpus into the existing agent stack: markdown projection in the agent's consumption layout, scoped MCP connectivity, chatbot guide, agent skills, citation eval.</t>
  </si>
  <si>
    <t xml:space="preserve">Post-MVP: govinfo full-text connector, simple-mode overview UX, Playwright fetch, Postgres, more inventories, digests, production hardening, LLM enrichment.</t>
  </si>
  <si>
    <t xml:space="preserve">Role</t>
  </si>
  <si>
    <t xml:space="preserve">Allocation</t>
  </si>
  <si>
    <t xml:space="preserve">Days / Sprint</t>
  </si>
  <si>
    <t xml:space="preserve">SP Capacity / Sprint</t>
  </si>
  <si>
    <t xml:space="preserve">Sprints</t>
  </si>
  <si>
    <t xml:space="preserve">Notes</t>
  </si>
  <si>
    <t xml:space="preserve">100%</t>
  </si>
  <si>
    <t xml:space="preserve">Data layer, versioning, pipeline, ops</t>
  </si>
  <si>
    <t xml:space="preserve">Dashboard UI, fetch layer, docs</t>
  </si>
  <si>
    <t xml:space="preserve">Connectors, enrichment, MCP tools, agentic</t>
  </si>
  <si>
    <t xml:space="preserve">25%</t>
  </si>
  <si>
    <t xml:space="preserve">Source sign-off, UX definitions, UAT</t>
  </si>
  <si>
    <t xml:space="preserve">Ceremonies, RAID, reporting (non-pointed)</t>
  </si>
  <si>
    <t xml:space="preserve">Planned SP by sprint (dev+BA):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</si>
</sst>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34"/>
    <col collapsed="false" customWidth="true" hidden="false" outlineLevel="0" max="7" min="6" style="0" width="52"/>
    <col collapsed="false" customWidth="true" hidden="false" outlineLevel="0" max="8" min="8" style="0" width="7"/>
    <col collapsed="false" customWidth="true" hidden="false" outlineLevel="0" max="9" min="9" style="0" width="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5.0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n">
        <v>3</v>
      </c>
      <c r="I2" s="2" t="s">
        <v>16</v>
      </c>
    </row>
    <row r="3" customFormat="false" ht="35.05" hidden="false" customHeight="false" outlineLevel="0" collapsed="false">
      <c r="A3" s="2" t="s">
        <v>17</v>
      </c>
      <c r="B3" s="2" t="s">
        <v>10</v>
      </c>
      <c r="C3" s="2" t="s">
        <v>11</v>
      </c>
      <c r="D3" s="2" t="s">
        <v>12</v>
      </c>
      <c r="E3" s="2" t="s">
        <v>18</v>
      </c>
      <c r="F3" s="2" t="s">
        <v>19</v>
      </c>
      <c r="G3" s="2" t="s">
        <v>20</v>
      </c>
      <c r="H3" s="2" t="n">
        <v>5</v>
      </c>
      <c r="I3" s="2" t="s">
        <v>16</v>
      </c>
    </row>
    <row r="4" customFormat="false" ht="23.85" hidden="false" customHeight="false" outlineLevel="0" collapsed="false">
      <c r="A4" s="2" t="s">
        <v>21</v>
      </c>
      <c r="B4" s="2" t="s">
        <v>10</v>
      </c>
      <c r="C4" s="2" t="s">
        <v>11</v>
      </c>
      <c r="D4" s="2" t="s">
        <v>12</v>
      </c>
      <c r="E4" s="2" t="s">
        <v>22</v>
      </c>
      <c r="F4" s="2" t="s">
        <v>23</v>
      </c>
      <c r="G4" s="2" t="s">
        <v>24</v>
      </c>
      <c r="H4" s="2" t="n">
        <v>3</v>
      </c>
      <c r="I4" s="2" t="s">
        <v>16</v>
      </c>
    </row>
    <row r="5" customFormat="false" ht="35.05" hidden="false" customHeight="false" outlineLevel="0" collapsed="false">
      <c r="A5" s="2" t="s">
        <v>25</v>
      </c>
      <c r="B5" s="2" t="s">
        <v>10</v>
      </c>
      <c r="C5" s="2" t="s">
        <v>11</v>
      </c>
      <c r="D5" s="2" t="s">
        <v>12</v>
      </c>
      <c r="E5" s="2" t="s">
        <v>26</v>
      </c>
      <c r="F5" s="2" t="s">
        <v>27</v>
      </c>
      <c r="G5" s="2" t="s">
        <v>28</v>
      </c>
      <c r="H5" s="2" t="n">
        <v>5</v>
      </c>
      <c r="I5" s="2" t="s">
        <v>16</v>
      </c>
    </row>
    <row r="6" customFormat="false" ht="35.05" hidden="false" customHeight="false" outlineLevel="0" collapsed="false">
      <c r="A6" s="2" t="s">
        <v>29</v>
      </c>
      <c r="B6" s="2" t="s">
        <v>10</v>
      </c>
      <c r="C6" s="2" t="s">
        <v>11</v>
      </c>
      <c r="D6" s="2" t="s">
        <v>12</v>
      </c>
      <c r="E6" s="2" t="s">
        <v>30</v>
      </c>
      <c r="F6" s="2" t="s">
        <v>31</v>
      </c>
      <c r="G6" s="2" t="s">
        <v>32</v>
      </c>
      <c r="H6" s="2" t="n">
        <v>3</v>
      </c>
      <c r="I6" s="2" t="s">
        <v>33</v>
      </c>
    </row>
    <row r="7" customFormat="false" ht="23.85" hidden="false" customHeight="false" outlineLevel="0" collapsed="false">
      <c r="A7" s="2" t="s">
        <v>34</v>
      </c>
      <c r="B7" s="2" t="s">
        <v>10</v>
      </c>
      <c r="C7" s="2" t="s">
        <v>11</v>
      </c>
      <c r="D7" s="2" t="s">
        <v>12</v>
      </c>
      <c r="E7" s="2" t="s">
        <v>35</v>
      </c>
      <c r="F7" s="2" t="s">
        <v>36</v>
      </c>
      <c r="G7" s="2" t="s">
        <v>37</v>
      </c>
      <c r="H7" s="2" t="n">
        <v>2</v>
      </c>
      <c r="I7" s="2" t="s">
        <v>16</v>
      </c>
    </row>
    <row r="8" customFormat="false" ht="35.05" hidden="false" customHeight="false" outlineLevel="0" collapsed="false">
      <c r="A8" s="2" t="s">
        <v>38</v>
      </c>
      <c r="B8" s="2" t="s">
        <v>39</v>
      </c>
      <c r="C8" s="2" t="s">
        <v>40</v>
      </c>
      <c r="D8" s="2" t="s">
        <v>12</v>
      </c>
      <c r="E8" s="2" t="s">
        <v>41</v>
      </c>
      <c r="F8" s="2" t="s">
        <v>42</v>
      </c>
      <c r="G8" s="2" t="s">
        <v>43</v>
      </c>
      <c r="H8" s="2" t="n">
        <v>5</v>
      </c>
      <c r="I8" s="2" t="s">
        <v>44</v>
      </c>
    </row>
    <row r="9" customFormat="false" ht="23.85" hidden="false" customHeight="false" outlineLevel="0" collapsed="false">
      <c r="A9" s="2" t="s">
        <v>45</v>
      </c>
      <c r="B9" s="2" t="s">
        <v>39</v>
      </c>
      <c r="C9" s="2" t="s">
        <v>40</v>
      </c>
      <c r="D9" s="2" t="s">
        <v>12</v>
      </c>
      <c r="E9" s="2" t="s">
        <v>46</v>
      </c>
      <c r="F9" s="2" t="s">
        <v>47</v>
      </c>
      <c r="G9" s="2" t="s">
        <v>48</v>
      </c>
      <c r="H9" s="2" t="n">
        <v>3</v>
      </c>
      <c r="I9" s="2" t="s">
        <v>44</v>
      </c>
    </row>
    <row r="10" customFormat="false" ht="23.85" hidden="false" customHeight="false" outlineLevel="0" collapsed="false">
      <c r="A10" s="2" t="s">
        <v>49</v>
      </c>
      <c r="B10" s="2" t="s">
        <v>10</v>
      </c>
      <c r="C10" s="2" t="s">
        <v>11</v>
      </c>
      <c r="D10" s="2" t="s">
        <v>12</v>
      </c>
      <c r="E10" s="2" t="s">
        <v>50</v>
      </c>
      <c r="F10" s="2" t="s">
        <v>51</v>
      </c>
      <c r="G10" s="2" t="s">
        <v>52</v>
      </c>
      <c r="H10" s="2" t="n">
        <v>2</v>
      </c>
      <c r="I10" s="2" t="s">
        <v>53</v>
      </c>
    </row>
    <row r="11" customFormat="false" ht="23.85" hidden="false" customHeight="false" outlineLevel="0" collapsed="false">
      <c r="A11" s="2" t="s">
        <v>54</v>
      </c>
      <c r="B11" s="2" t="s">
        <v>10</v>
      </c>
      <c r="C11" s="2" t="s">
        <v>11</v>
      </c>
      <c r="D11" s="2" t="s">
        <v>12</v>
      </c>
      <c r="E11" s="2" t="s">
        <v>55</v>
      </c>
      <c r="F11" s="2" t="s">
        <v>56</v>
      </c>
      <c r="G11" s="2" t="s">
        <v>57</v>
      </c>
      <c r="H11" s="2" t="n">
        <v>0</v>
      </c>
      <c r="I11" s="2" t="s">
        <v>58</v>
      </c>
    </row>
    <row r="12" customFormat="false" ht="35.0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  <c r="G12" s="2" t="s">
        <v>65</v>
      </c>
      <c r="H12" s="2" t="n">
        <v>8</v>
      </c>
      <c r="I12" s="2" t="s">
        <v>16</v>
      </c>
    </row>
    <row r="13" customFormat="false" ht="35.05" hidden="false" customHeight="false" outlineLevel="0" collapsed="false">
      <c r="A13" s="2" t="s">
        <v>66</v>
      </c>
      <c r="B13" s="2" t="s">
        <v>60</v>
      </c>
      <c r="C13" s="2" t="s">
        <v>61</v>
      </c>
      <c r="D13" s="2" t="s">
        <v>62</v>
      </c>
      <c r="E13" s="2" t="s">
        <v>67</v>
      </c>
      <c r="F13" s="2" t="s">
        <v>68</v>
      </c>
      <c r="G13" s="2" t="s">
        <v>69</v>
      </c>
      <c r="H13" s="2" t="n">
        <v>5</v>
      </c>
      <c r="I13" s="2" t="s">
        <v>16</v>
      </c>
    </row>
    <row r="14" customFormat="false" ht="23.85" hidden="false" customHeight="false" outlineLevel="0" collapsed="false">
      <c r="A14" s="2" t="s">
        <v>70</v>
      </c>
      <c r="B14" s="2" t="s">
        <v>60</v>
      </c>
      <c r="C14" s="2" t="s">
        <v>61</v>
      </c>
      <c r="D14" s="2" t="s">
        <v>62</v>
      </c>
      <c r="E14" s="2" t="s">
        <v>71</v>
      </c>
      <c r="F14" s="2" t="s">
        <v>72</v>
      </c>
      <c r="G14" s="2" t="s">
        <v>73</v>
      </c>
      <c r="H14" s="2" t="n">
        <v>3</v>
      </c>
      <c r="I14" s="2" t="s">
        <v>16</v>
      </c>
    </row>
    <row r="15" customFormat="false" ht="35.0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62</v>
      </c>
      <c r="E15" s="2" t="s">
        <v>77</v>
      </c>
      <c r="F15" s="2" t="s">
        <v>78</v>
      </c>
      <c r="G15" s="2" t="s">
        <v>79</v>
      </c>
      <c r="H15" s="2" t="n">
        <v>5</v>
      </c>
      <c r="I15" s="2" t="s">
        <v>44</v>
      </c>
    </row>
    <row r="16" customFormat="false" ht="23.85" hidden="false" customHeight="false" outlineLevel="0" collapsed="false">
      <c r="A16" s="2" t="s">
        <v>80</v>
      </c>
      <c r="B16" s="2" t="s">
        <v>75</v>
      </c>
      <c r="C16" s="2" t="s">
        <v>76</v>
      </c>
      <c r="D16" s="2" t="s">
        <v>62</v>
      </c>
      <c r="E16" s="2" t="s">
        <v>81</v>
      </c>
      <c r="F16" s="2" t="s">
        <v>82</v>
      </c>
      <c r="G16" s="2" t="s">
        <v>83</v>
      </c>
      <c r="H16" s="2" t="n">
        <v>3</v>
      </c>
      <c r="I16" s="2" t="s">
        <v>44</v>
      </c>
    </row>
    <row r="17" customFormat="false" ht="35.05" hidden="false" customHeight="false" outlineLevel="0" collapsed="false">
      <c r="A17" s="2" t="s">
        <v>84</v>
      </c>
      <c r="B17" s="2" t="s">
        <v>75</v>
      </c>
      <c r="C17" s="2" t="s">
        <v>76</v>
      </c>
      <c r="D17" s="2" t="s">
        <v>62</v>
      </c>
      <c r="E17" s="2" t="s">
        <v>85</v>
      </c>
      <c r="F17" s="2" t="s">
        <v>86</v>
      </c>
      <c r="G17" s="2" t="s">
        <v>87</v>
      </c>
      <c r="H17" s="2" t="n">
        <v>5</v>
      </c>
      <c r="I17" s="2" t="s">
        <v>44</v>
      </c>
    </row>
    <row r="18" customFormat="false" ht="35.05" hidden="false" customHeight="false" outlineLevel="0" collapsed="false">
      <c r="A18" s="2" t="s">
        <v>88</v>
      </c>
      <c r="B18" s="2" t="s">
        <v>75</v>
      </c>
      <c r="C18" s="2" t="s">
        <v>76</v>
      </c>
      <c r="D18" s="2" t="s">
        <v>62</v>
      </c>
      <c r="E18" s="2" t="s">
        <v>89</v>
      </c>
      <c r="F18" s="2" t="s">
        <v>90</v>
      </c>
      <c r="G18" s="2" t="s">
        <v>91</v>
      </c>
      <c r="H18" s="2" t="n">
        <v>5</v>
      </c>
      <c r="I18" s="2" t="s">
        <v>33</v>
      </c>
    </row>
    <row r="19" customFormat="false" ht="35.05" hidden="false" customHeight="false" outlineLevel="0" collapsed="false">
      <c r="A19" s="2" t="s">
        <v>92</v>
      </c>
      <c r="B19" s="2" t="s">
        <v>60</v>
      </c>
      <c r="C19" s="2" t="s">
        <v>61</v>
      </c>
      <c r="D19" s="2" t="s">
        <v>62</v>
      </c>
      <c r="E19" s="2" t="s">
        <v>93</v>
      </c>
      <c r="F19" s="2" t="s">
        <v>94</v>
      </c>
      <c r="G19" s="2" t="s">
        <v>95</v>
      </c>
      <c r="H19" s="2" t="n">
        <v>2</v>
      </c>
      <c r="I19" s="2" t="s">
        <v>53</v>
      </c>
    </row>
    <row r="20" customFormat="false" ht="23.85" hidden="false" customHeight="false" outlineLevel="0" collapsed="false">
      <c r="A20" s="2" t="s">
        <v>96</v>
      </c>
      <c r="B20" s="2" t="s">
        <v>97</v>
      </c>
      <c r="C20" s="2" t="s">
        <v>98</v>
      </c>
      <c r="D20" s="2" t="s">
        <v>62</v>
      </c>
      <c r="E20" s="2" t="s">
        <v>99</v>
      </c>
      <c r="F20" s="2" t="s">
        <v>100</v>
      </c>
      <c r="G20" s="2" t="s">
        <v>101</v>
      </c>
      <c r="H20" s="2" t="n">
        <v>0</v>
      </c>
      <c r="I20" s="2" t="s">
        <v>58</v>
      </c>
    </row>
    <row r="21" customFormat="false" ht="35.05" hidden="false" customHeight="false" outlineLevel="0" collapsed="false">
      <c r="A21" s="2" t="s">
        <v>102</v>
      </c>
      <c r="B21" s="2" t="s">
        <v>75</v>
      </c>
      <c r="C21" s="2" t="s">
        <v>76</v>
      </c>
      <c r="D21" s="2" t="s">
        <v>103</v>
      </c>
      <c r="E21" s="2" t="s">
        <v>104</v>
      </c>
      <c r="F21" s="2" t="s">
        <v>105</v>
      </c>
      <c r="G21" s="2" t="s">
        <v>106</v>
      </c>
      <c r="H21" s="2" t="n">
        <v>8</v>
      </c>
      <c r="I21" s="2" t="s">
        <v>16</v>
      </c>
    </row>
    <row r="22" customFormat="false" ht="35.05" hidden="false" customHeight="false" outlineLevel="0" collapsed="false">
      <c r="A22" s="2" t="s">
        <v>107</v>
      </c>
      <c r="B22" s="2" t="s">
        <v>75</v>
      </c>
      <c r="C22" s="2" t="s">
        <v>76</v>
      </c>
      <c r="D22" s="2" t="s">
        <v>103</v>
      </c>
      <c r="E22" s="2" t="s">
        <v>108</v>
      </c>
      <c r="F22" s="2" t="s">
        <v>109</v>
      </c>
      <c r="G22" s="2" t="s">
        <v>110</v>
      </c>
      <c r="H22" s="2" t="n">
        <v>3</v>
      </c>
      <c r="I22" s="2" t="s">
        <v>44</v>
      </c>
    </row>
    <row r="23" customFormat="false" ht="35.05" hidden="false" customHeight="false" outlineLevel="0" collapsed="false">
      <c r="A23" s="2" t="s">
        <v>111</v>
      </c>
      <c r="B23" s="2" t="s">
        <v>75</v>
      </c>
      <c r="C23" s="2" t="s">
        <v>76</v>
      </c>
      <c r="D23" s="2" t="s">
        <v>103</v>
      </c>
      <c r="E23" s="2" t="s">
        <v>112</v>
      </c>
      <c r="F23" s="2" t="s">
        <v>113</v>
      </c>
      <c r="G23" s="2" t="s">
        <v>114</v>
      </c>
      <c r="H23" s="2" t="n">
        <v>2</v>
      </c>
      <c r="I23" s="2" t="s">
        <v>44</v>
      </c>
    </row>
    <row r="24" customFormat="false" ht="35.05" hidden="false" customHeight="false" outlineLevel="0" collapsed="false">
      <c r="A24" s="2" t="s">
        <v>115</v>
      </c>
      <c r="B24" s="2" t="s">
        <v>97</v>
      </c>
      <c r="C24" s="2" t="s">
        <v>98</v>
      </c>
      <c r="D24" s="2" t="s">
        <v>103</v>
      </c>
      <c r="E24" s="2" t="s">
        <v>116</v>
      </c>
      <c r="F24" s="2" t="s">
        <v>117</v>
      </c>
      <c r="G24" s="2" t="s">
        <v>118</v>
      </c>
      <c r="H24" s="2" t="n">
        <v>5</v>
      </c>
      <c r="I24" s="2" t="s">
        <v>16</v>
      </c>
    </row>
    <row r="25" customFormat="false" ht="35.05" hidden="false" customHeight="false" outlineLevel="0" collapsed="false">
      <c r="A25" s="2" t="s">
        <v>119</v>
      </c>
      <c r="B25" s="2" t="s">
        <v>97</v>
      </c>
      <c r="C25" s="2" t="s">
        <v>98</v>
      </c>
      <c r="D25" s="2" t="s">
        <v>103</v>
      </c>
      <c r="E25" s="2" t="s">
        <v>120</v>
      </c>
      <c r="F25" s="2" t="s">
        <v>121</v>
      </c>
      <c r="G25" s="2" t="s">
        <v>122</v>
      </c>
      <c r="H25" s="2" t="n">
        <v>3</v>
      </c>
      <c r="I25" s="2" t="s">
        <v>16</v>
      </c>
    </row>
    <row r="26" customFormat="false" ht="23.85" hidden="false" customHeight="false" outlineLevel="0" collapsed="false">
      <c r="A26" s="2" t="s">
        <v>123</v>
      </c>
      <c r="B26" s="2" t="s">
        <v>39</v>
      </c>
      <c r="C26" s="2" t="s">
        <v>40</v>
      </c>
      <c r="D26" s="2" t="s">
        <v>103</v>
      </c>
      <c r="E26" s="2" t="s">
        <v>124</v>
      </c>
      <c r="F26" s="2" t="s">
        <v>125</v>
      </c>
      <c r="G26" s="2" t="s">
        <v>126</v>
      </c>
      <c r="H26" s="2" t="n">
        <v>3</v>
      </c>
      <c r="I26" s="2" t="s">
        <v>44</v>
      </c>
    </row>
    <row r="27" customFormat="false" ht="23.85" hidden="false" customHeight="false" outlineLevel="0" collapsed="false">
      <c r="A27" s="2" t="s">
        <v>127</v>
      </c>
      <c r="B27" s="2" t="s">
        <v>39</v>
      </c>
      <c r="C27" s="2" t="s">
        <v>40</v>
      </c>
      <c r="D27" s="2" t="s">
        <v>103</v>
      </c>
      <c r="E27" s="2" t="s">
        <v>128</v>
      </c>
      <c r="F27" s="2" t="s">
        <v>129</v>
      </c>
      <c r="G27" s="2" t="s">
        <v>130</v>
      </c>
      <c r="H27" s="2" t="n">
        <v>5</v>
      </c>
      <c r="I27" s="2" t="s">
        <v>44</v>
      </c>
    </row>
    <row r="28" customFormat="false" ht="35.05" hidden="false" customHeight="false" outlineLevel="0" collapsed="false">
      <c r="A28" s="2" t="s">
        <v>131</v>
      </c>
      <c r="B28" s="2" t="s">
        <v>75</v>
      </c>
      <c r="C28" s="2" t="s">
        <v>76</v>
      </c>
      <c r="D28" s="2" t="s">
        <v>103</v>
      </c>
      <c r="E28" s="2" t="s">
        <v>132</v>
      </c>
      <c r="F28" s="2" t="s">
        <v>133</v>
      </c>
      <c r="G28" s="2" t="s">
        <v>134</v>
      </c>
      <c r="H28" s="2" t="n">
        <v>3</v>
      </c>
      <c r="I28" s="2" t="s">
        <v>33</v>
      </c>
    </row>
    <row r="29" customFormat="false" ht="35.05" hidden="false" customHeight="false" outlineLevel="0" collapsed="false">
      <c r="A29" s="2" t="s">
        <v>135</v>
      </c>
      <c r="B29" s="2" t="s">
        <v>97</v>
      </c>
      <c r="C29" s="2" t="s">
        <v>98</v>
      </c>
      <c r="D29" s="2" t="s">
        <v>103</v>
      </c>
      <c r="E29" s="2" t="s">
        <v>136</v>
      </c>
      <c r="F29" s="2" t="s">
        <v>137</v>
      </c>
      <c r="G29" s="2" t="s">
        <v>138</v>
      </c>
      <c r="H29" s="2" t="n">
        <v>2</v>
      </c>
      <c r="I29" s="2" t="s">
        <v>33</v>
      </c>
    </row>
    <row r="30" customFormat="false" ht="35.05" hidden="false" customHeight="false" outlineLevel="0" collapsed="false">
      <c r="A30" s="2" t="s">
        <v>139</v>
      </c>
      <c r="B30" s="2" t="s">
        <v>140</v>
      </c>
      <c r="C30" s="2" t="s">
        <v>141</v>
      </c>
      <c r="D30" s="2" t="s">
        <v>103</v>
      </c>
      <c r="E30" s="2" t="s">
        <v>142</v>
      </c>
      <c r="F30" s="2" t="s">
        <v>143</v>
      </c>
      <c r="G30" s="2" t="s">
        <v>144</v>
      </c>
      <c r="H30" s="2" t="n">
        <v>2</v>
      </c>
      <c r="I30" s="2" t="s">
        <v>53</v>
      </c>
    </row>
    <row r="31" customFormat="false" ht="23.85" hidden="false" customHeight="false" outlineLevel="0" collapsed="false">
      <c r="A31" s="2" t="s">
        <v>145</v>
      </c>
      <c r="B31" s="2" t="s">
        <v>97</v>
      </c>
      <c r="C31" s="2" t="s">
        <v>98</v>
      </c>
      <c r="D31" s="2" t="s">
        <v>103</v>
      </c>
      <c r="E31" s="2" t="s">
        <v>99</v>
      </c>
      <c r="F31" s="2" t="s">
        <v>100</v>
      </c>
      <c r="G31" s="2" t="s">
        <v>101</v>
      </c>
      <c r="H31" s="2" t="n">
        <v>0</v>
      </c>
      <c r="I31" s="2" t="s">
        <v>58</v>
      </c>
    </row>
    <row r="32" customFormat="false" ht="35.05" hidden="false" customHeight="false" outlineLevel="0" collapsed="false">
      <c r="A32" s="2" t="s">
        <v>146</v>
      </c>
      <c r="B32" s="2" t="s">
        <v>140</v>
      </c>
      <c r="C32" s="2" t="s">
        <v>141</v>
      </c>
      <c r="D32" s="2" t="s">
        <v>147</v>
      </c>
      <c r="E32" s="2" t="s">
        <v>148</v>
      </c>
      <c r="F32" s="2" t="s">
        <v>149</v>
      </c>
      <c r="G32" s="2" t="s">
        <v>150</v>
      </c>
      <c r="H32" s="2" t="n">
        <v>5</v>
      </c>
      <c r="I32" s="2" t="s">
        <v>16</v>
      </c>
    </row>
    <row r="33" customFormat="false" ht="35.05" hidden="false" customHeight="false" outlineLevel="0" collapsed="false">
      <c r="A33" s="2" t="s">
        <v>151</v>
      </c>
      <c r="B33" s="2" t="s">
        <v>140</v>
      </c>
      <c r="C33" s="2" t="s">
        <v>141</v>
      </c>
      <c r="D33" s="2" t="s">
        <v>147</v>
      </c>
      <c r="E33" s="2" t="s">
        <v>152</v>
      </c>
      <c r="F33" s="2" t="s">
        <v>153</v>
      </c>
      <c r="G33" s="2" t="s">
        <v>154</v>
      </c>
      <c r="H33" s="2" t="n">
        <v>5</v>
      </c>
      <c r="I33" s="2" t="s">
        <v>33</v>
      </c>
    </row>
    <row r="34" customFormat="false" ht="46.25" hidden="false" customHeight="false" outlineLevel="0" collapsed="false">
      <c r="A34" s="2" t="s">
        <v>155</v>
      </c>
      <c r="B34" s="2" t="s">
        <v>140</v>
      </c>
      <c r="C34" s="2" t="s">
        <v>141</v>
      </c>
      <c r="D34" s="2" t="s">
        <v>147</v>
      </c>
      <c r="E34" s="2" t="s">
        <v>156</v>
      </c>
      <c r="F34" s="2" t="s">
        <v>157</v>
      </c>
      <c r="G34" s="2" t="s">
        <v>158</v>
      </c>
      <c r="H34" s="2" t="n">
        <v>5</v>
      </c>
      <c r="I34" s="2" t="s">
        <v>33</v>
      </c>
    </row>
    <row r="35" customFormat="false" ht="35.05" hidden="false" customHeight="false" outlineLevel="0" collapsed="false">
      <c r="A35" s="2" t="s">
        <v>159</v>
      </c>
      <c r="B35" s="2" t="s">
        <v>140</v>
      </c>
      <c r="C35" s="2" t="s">
        <v>141</v>
      </c>
      <c r="D35" s="2" t="s">
        <v>147</v>
      </c>
      <c r="E35" s="2" t="s">
        <v>160</v>
      </c>
      <c r="F35" s="2" t="s">
        <v>161</v>
      </c>
      <c r="G35" s="2" t="s">
        <v>162</v>
      </c>
      <c r="H35" s="2" t="n">
        <v>3</v>
      </c>
      <c r="I35" s="2" t="s">
        <v>33</v>
      </c>
    </row>
    <row r="36" customFormat="false" ht="57.45" hidden="false" customHeight="false" outlineLevel="0" collapsed="false">
      <c r="A36" s="2" t="s">
        <v>163</v>
      </c>
      <c r="B36" s="2" t="s">
        <v>164</v>
      </c>
      <c r="C36" s="2" t="s">
        <v>165</v>
      </c>
      <c r="D36" s="2" t="s">
        <v>147</v>
      </c>
      <c r="E36" s="2" t="s">
        <v>166</v>
      </c>
      <c r="F36" s="2" t="s">
        <v>167</v>
      </c>
      <c r="G36" s="2" t="s">
        <v>168</v>
      </c>
      <c r="H36" s="2" t="n">
        <v>5</v>
      </c>
      <c r="I36" s="2" t="s">
        <v>44</v>
      </c>
    </row>
    <row r="37" customFormat="false" ht="35.05" hidden="false" customHeight="false" outlineLevel="0" collapsed="false">
      <c r="A37" s="2" t="s">
        <v>169</v>
      </c>
      <c r="B37" s="2" t="s">
        <v>164</v>
      </c>
      <c r="C37" s="2" t="s">
        <v>165</v>
      </c>
      <c r="D37" s="2" t="s">
        <v>147</v>
      </c>
      <c r="E37" s="2" t="s">
        <v>170</v>
      </c>
      <c r="F37" s="2" t="s">
        <v>171</v>
      </c>
      <c r="G37" s="2" t="s">
        <v>172</v>
      </c>
      <c r="H37" s="2" t="n">
        <v>3</v>
      </c>
      <c r="I37" s="2" t="s">
        <v>44</v>
      </c>
    </row>
    <row r="38" customFormat="false" ht="35.05" hidden="false" customHeight="false" outlineLevel="0" collapsed="false">
      <c r="A38" s="2" t="s">
        <v>173</v>
      </c>
      <c r="B38" s="2" t="s">
        <v>164</v>
      </c>
      <c r="C38" s="2" t="s">
        <v>165</v>
      </c>
      <c r="D38" s="2" t="s">
        <v>147</v>
      </c>
      <c r="E38" s="2" t="s">
        <v>174</v>
      </c>
      <c r="F38" s="2" t="s">
        <v>175</v>
      </c>
      <c r="G38" s="2" t="s">
        <v>176</v>
      </c>
      <c r="H38" s="2" t="n">
        <v>3</v>
      </c>
      <c r="I38" s="2" t="s">
        <v>44</v>
      </c>
    </row>
    <row r="39" customFormat="false" ht="46.25" hidden="false" customHeight="false" outlineLevel="0" collapsed="false">
      <c r="A39" s="2" t="s">
        <v>177</v>
      </c>
      <c r="B39" s="2" t="s">
        <v>39</v>
      </c>
      <c r="C39" s="2" t="s">
        <v>40</v>
      </c>
      <c r="D39" s="2" t="s">
        <v>147</v>
      </c>
      <c r="E39" s="2" t="s">
        <v>178</v>
      </c>
      <c r="F39" s="2" t="s">
        <v>179</v>
      </c>
      <c r="G39" s="2" t="s">
        <v>180</v>
      </c>
      <c r="H39" s="2" t="n">
        <v>3</v>
      </c>
      <c r="I39" s="2" t="s">
        <v>44</v>
      </c>
    </row>
    <row r="40" customFormat="false" ht="35.05" hidden="false" customHeight="false" outlineLevel="0" collapsed="false">
      <c r="A40" s="2" t="s">
        <v>181</v>
      </c>
      <c r="B40" s="2" t="s">
        <v>39</v>
      </c>
      <c r="C40" s="2" t="s">
        <v>40</v>
      </c>
      <c r="D40" s="2" t="s">
        <v>147</v>
      </c>
      <c r="E40" s="2" t="s">
        <v>182</v>
      </c>
      <c r="F40" s="2" t="s">
        <v>183</v>
      </c>
      <c r="G40" s="2" t="s">
        <v>184</v>
      </c>
      <c r="H40" s="2" t="n">
        <v>2</v>
      </c>
      <c r="I40" s="2" t="s">
        <v>16</v>
      </c>
    </row>
    <row r="41" customFormat="false" ht="23.85" hidden="false" customHeight="false" outlineLevel="0" collapsed="false">
      <c r="A41" s="2" t="s">
        <v>185</v>
      </c>
      <c r="B41" s="2" t="s">
        <v>140</v>
      </c>
      <c r="C41" s="2" t="s">
        <v>141</v>
      </c>
      <c r="D41" s="2" t="s">
        <v>147</v>
      </c>
      <c r="E41" s="2" t="s">
        <v>186</v>
      </c>
      <c r="F41" s="2" t="s">
        <v>187</v>
      </c>
      <c r="G41" s="2" t="s">
        <v>188</v>
      </c>
      <c r="H41" s="2" t="n">
        <v>2</v>
      </c>
      <c r="I41" s="2" t="s">
        <v>53</v>
      </c>
    </row>
    <row r="42" customFormat="false" ht="23.85" hidden="false" customHeight="false" outlineLevel="0" collapsed="false">
      <c r="A42" s="2" t="s">
        <v>189</v>
      </c>
      <c r="B42" s="2" t="s">
        <v>97</v>
      </c>
      <c r="C42" s="2" t="s">
        <v>98</v>
      </c>
      <c r="D42" s="2" t="s">
        <v>147</v>
      </c>
      <c r="E42" s="2" t="s">
        <v>99</v>
      </c>
      <c r="F42" s="2" t="s">
        <v>100</v>
      </c>
      <c r="G42" s="2" t="s">
        <v>101</v>
      </c>
      <c r="H42" s="2" t="n">
        <v>0</v>
      </c>
      <c r="I42" s="2" t="s">
        <v>58</v>
      </c>
    </row>
    <row r="43" customFormat="false" ht="35.05" hidden="false" customHeight="false" outlineLevel="0" collapsed="false">
      <c r="A43" s="2" t="s">
        <v>190</v>
      </c>
      <c r="B43" s="2" t="s">
        <v>140</v>
      </c>
      <c r="C43" s="2" t="s">
        <v>141</v>
      </c>
      <c r="D43" s="2" t="s">
        <v>191</v>
      </c>
      <c r="E43" s="2" t="s">
        <v>192</v>
      </c>
      <c r="F43" s="2" t="s">
        <v>193</v>
      </c>
      <c r="G43" s="2" t="s">
        <v>194</v>
      </c>
      <c r="H43" s="2" t="n">
        <v>3</v>
      </c>
      <c r="I43" s="2" t="s">
        <v>33</v>
      </c>
    </row>
    <row r="44" customFormat="false" ht="35.05" hidden="false" customHeight="false" outlineLevel="0" collapsed="false">
      <c r="A44" s="2" t="s">
        <v>195</v>
      </c>
      <c r="B44" s="2" t="s">
        <v>140</v>
      </c>
      <c r="C44" s="2" t="s">
        <v>141</v>
      </c>
      <c r="D44" s="2" t="s">
        <v>191</v>
      </c>
      <c r="E44" s="2" t="s">
        <v>196</v>
      </c>
      <c r="F44" s="2" t="s">
        <v>197</v>
      </c>
      <c r="G44" s="2" t="s">
        <v>198</v>
      </c>
      <c r="H44" s="2" t="n">
        <v>2</v>
      </c>
      <c r="I44" s="2" t="s">
        <v>33</v>
      </c>
    </row>
    <row r="45" customFormat="false" ht="35.05" hidden="false" customHeight="false" outlineLevel="0" collapsed="false">
      <c r="A45" s="2" t="s">
        <v>199</v>
      </c>
      <c r="B45" s="2" t="s">
        <v>140</v>
      </c>
      <c r="C45" s="2" t="s">
        <v>141</v>
      </c>
      <c r="D45" s="2" t="s">
        <v>191</v>
      </c>
      <c r="E45" s="2" t="s">
        <v>200</v>
      </c>
      <c r="F45" s="2" t="s">
        <v>201</v>
      </c>
      <c r="G45" s="2" t="s">
        <v>202</v>
      </c>
      <c r="H45" s="2" t="n">
        <v>3</v>
      </c>
      <c r="I45" s="2" t="s">
        <v>33</v>
      </c>
    </row>
    <row r="46" customFormat="false" ht="46.25" hidden="false" customHeight="false" outlineLevel="0" collapsed="false">
      <c r="A46" s="2" t="s">
        <v>203</v>
      </c>
      <c r="B46" s="2" t="s">
        <v>140</v>
      </c>
      <c r="C46" s="2" t="s">
        <v>141</v>
      </c>
      <c r="D46" s="2" t="s">
        <v>191</v>
      </c>
      <c r="E46" s="2" t="s">
        <v>204</v>
      </c>
      <c r="F46" s="2" t="s">
        <v>205</v>
      </c>
      <c r="G46" s="2" t="s">
        <v>206</v>
      </c>
      <c r="H46" s="2" t="n">
        <v>3</v>
      </c>
      <c r="I46" s="2" t="s">
        <v>33</v>
      </c>
    </row>
    <row r="47" customFormat="false" ht="46.25" hidden="false" customHeight="false" outlineLevel="0" collapsed="false">
      <c r="A47" s="2" t="s">
        <v>207</v>
      </c>
      <c r="B47" s="2" t="s">
        <v>97</v>
      </c>
      <c r="C47" s="2" t="s">
        <v>98</v>
      </c>
      <c r="D47" s="2" t="s">
        <v>191</v>
      </c>
      <c r="E47" s="2" t="s">
        <v>208</v>
      </c>
      <c r="F47" s="2" t="s">
        <v>209</v>
      </c>
      <c r="G47" s="2" t="s">
        <v>210</v>
      </c>
      <c r="H47" s="2" t="n">
        <v>5</v>
      </c>
      <c r="I47" s="2" t="s">
        <v>16</v>
      </c>
    </row>
    <row r="48" customFormat="false" ht="35.05" hidden="false" customHeight="false" outlineLevel="0" collapsed="false">
      <c r="A48" s="2" t="s">
        <v>211</v>
      </c>
      <c r="B48" s="2" t="s">
        <v>212</v>
      </c>
      <c r="C48" s="2" t="s">
        <v>213</v>
      </c>
      <c r="D48" s="2" t="s">
        <v>191</v>
      </c>
      <c r="E48" s="2" t="s">
        <v>214</v>
      </c>
      <c r="F48" s="2" t="s">
        <v>215</v>
      </c>
      <c r="G48" s="2" t="s">
        <v>216</v>
      </c>
      <c r="H48" s="2" t="n">
        <v>5</v>
      </c>
      <c r="I48" s="2" t="s">
        <v>44</v>
      </c>
    </row>
    <row r="49" customFormat="false" ht="35.05" hidden="false" customHeight="false" outlineLevel="0" collapsed="false">
      <c r="A49" s="2" t="s">
        <v>217</v>
      </c>
      <c r="B49" s="2" t="s">
        <v>212</v>
      </c>
      <c r="C49" s="2" t="s">
        <v>213</v>
      </c>
      <c r="D49" s="2" t="s">
        <v>191</v>
      </c>
      <c r="E49" s="2" t="s">
        <v>218</v>
      </c>
      <c r="F49" s="2" t="s">
        <v>219</v>
      </c>
      <c r="G49" s="2" t="s">
        <v>220</v>
      </c>
      <c r="H49" s="2" t="n">
        <v>5</v>
      </c>
      <c r="I49" s="2" t="s">
        <v>44</v>
      </c>
    </row>
    <row r="50" customFormat="false" ht="35.05" hidden="false" customHeight="false" outlineLevel="0" collapsed="false">
      <c r="A50" s="2" t="s">
        <v>221</v>
      </c>
      <c r="B50" s="2" t="s">
        <v>212</v>
      </c>
      <c r="C50" s="2" t="s">
        <v>213</v>
      </c>
      <c r="D50" s="2" t="s">
        <v>191</v>
      </c>
      <c r="E50" s="2" t="s">
        <v>222</v>
      </c>
      <c r="F50" s="2" t="s">
        <v>223</v>
      </c>
      <c r="G50" s="2" t="s">
        <v>224</v>
      </c>
      <c r="H50" s="2" t="n">
        <v>5</v>
      </c>
      <c r="I50" s="2" t="s">
        <v>16</v>
      </c>
    </row>
    <row r="51" customFormat="false" ht="23.85" hidden="false" customHeight="false" outlineLevel="0" collapsed="false">
      <c r="A51" s="2" t="s">
        <v>225</v>
      </c>
      <c r="B51" s="2" t="s">
        <v>140</v>
      </c>
      <c r="C51" s="2" t="s">
        <v>141</v>
      </c>
      <c r="D51" s="2" t="s">
        <v>191</v>
      </c>
      <c r="E51" s="2" t="s">
        <v>226</v>
      </c>
      <c r="F51" s="2" t="s">
        <v>227</v>
      </c>
      <c r="G51" s="2" t="s">
        <v>228</v>
      </c>
      <c r="H51" s="2" t="n">
        <v>2</v>
      </c>
      <c r="I51" s="2" t="s">
        <v>53</v>
      </c>
    </row>
    <row r="52" customFormat="false" ht="23.85" hidden="false" customHeight="false" outlineLevel="0" collapsed="false">
      <c r="A52" s="2" t="s">
        <v>229</v>
      </c>
      <c r="B52" s="2" t="s">
        <v>97</v>
      </c>
      <c r="C52" s="2" t="s">
        <v>98</v>
      </c>
      <c r="D52" s="2" t="s">
        <v>191</v>
      </c>
      <c r="E52" s="2" t="s">
        <v>99</v>
      </c>
      <c r="F52" s="2" t="s">
        <v>100</v>
      </c>
      <c r="G52" s="2" t="s">
        <v>101</v>
      </c>
      <c r="H52" s="2" t="n">
        <v>0</v>
      </c>
      <c r="I52" s="2" t="s">
        <v>58</v>
      </c>
    </row>
    <row r="53" customFormat="false" ht="46.25" hidden="false" customHeight="false" outlineLevel="0" collapsed="false">
      <c r="A53" s="2" t="s">
        <v>230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s">
        <v>235</v>
      </c>
      <c r="G53" s="2" t="s">
        <v>236</v>
      </c>
      <c r="H53" s="2" t="n">
        <v>5</v>
      </c>
      <c r="I53" s="2" t="s">
        <v>16</v>
      </c>
    </row>
    <row r="54" customFormat="false" ht="35.05" hidden="false" customHeight="false" outlineLevel="0" collapsed="false">
      <c r="A54" s="2" t="s">
        <v>237</v>
      </c>
      <c r="B54" s="2" t="s">
        <v>231</v>
      </c>
      <c r="C54" s="2" t="s">
        <v>232</v>
      </c>
      <c r="D54" s="2" t="s">
        <v>233</v>
      </c>
      <c r="E54" s="2" t="s">
        <v>238</v>
      </c>
      <c r="F54" s="2" t="s">
        <v>239</v>
      </c>
      <c r="G54" s="2" t="s">
        <v>240</v>
      </c>
      <c r="H54" s="2" t="n">
        <v>3</v>
      </c>
      <c r="I54" s="2" t="s">
        <v>44</v>
      </c>
    </row>
    <row r="55" customFormat="false" ht="46.25" hidden="false" customHeight="false" outlineLevel="0" collapsed="false">
      <c r="A55" s="2" t="s">
        <v>241</v>
      </c>
      <c r="B55" s="2" t="s">
        <v>231</v>
      </c>
      <c r="C55" s="2" t="s">
        <v>232</v>
      </c>
      <c r="D55" s="2" t="s">
        <v>233</v>
      </c>
      <c r="E55" s="2" t="s">
        <v>242</v>
      </c>
      <c r="F55" s="2" t="s">
        <v>243</v>
      </c>
      <c r="G55" s="2" t="s">
        <v>244</v>
      </c>
      <c r="H55" s="2" t="n">
        <v>2</v>
      </c>
      <c r="I55" s="2" t="s">
        <v>44</v>
      </c>
    </row>
    <row r="56" customFormat="false" ht="46.25" hidden="false" customHeight="false" outlineLevel="0" collapsed="false">
      <c r="A56" s="2" t="s">
        <v>245</v>
      </c>
      <c r="B56" s="2" t="s">
        <v>231</v>
      </c>
      <c r="C56" s="2" t="s">
        <v>232</v>
      </c>
      <c r="D56" s="2" t="s">
        <v>233</v>
      </c>
      <c r="E56" s="2" t="s">
        <v>246</v>
      </c>
      <c r="F56" s="2" t="s">
        <v>247</v>
      </c>
      <c r="G56" s="2" t="s">
        <v>248</v>
      </c>
      <c r="H56" s="2" t="n">
        <v>3</v>
      </c>
      <c r="I56" s="2" t="s">
        <v>44</v>
      </c>
    </row>
    <row r="57" customFormat="false" ht="35.05" hidden="false" customHeight="false" outlineLevel="0" collapsed="false">
      <c r="A57" s="2" t="s">
        <v>249</v>
      </c>
      <c r="B57" s="2" t="s">
        <v>231</v>
      </c>
      <c r="C57" s="2" t="s">
        <v>232</v>
      </c>
      <c r="D57" s="2" t="s">
        <v>233</v>
      </c>
      <c r="E57" s="2" t="s">
        <v>250</v>
      </c>
      <c r="F57" s="2" t="s">
        <v>251</v>
      </c>
      <c r="G57" s="2" t="s">
        <v>252</v>
      </c>
      <c r="H57" s="2" t="n">
        <v>3</v>
      </c>
      <c r="I57" s="2" t="s">
        <v>44</v>
      </c>
    </row>
    <row r="58" customFormat="false" ht="35.05" hidden="false" customHeight="false" outlineLevel="0" collapsed="false">
      <c r="A58" s="2" t="s">
        <v>253</v>
      </c>
      <c r="B58" s="2" t="s">
        <v>97</v>
      </c>
      <c r="C58" s="2" t="s">
        <v>98</v>
      </c>
      <c r="D58" s="2" t="s">
        <v>233</v>
      </c>
      <c r="E58" s="2" t="s">
        <v>254</v>
      </c>
      <c r="F58" s="2" t="s">
        <v>255</v>
      </c>
      <c r="G58" s="2" t="s">
        <v>256</v>
      </c>
      <c r="H58" s="2" t="n">
        <v>3</v>
      </c>
      <c r="I58" s="2" t="s">
        <v>16</v>
      </c>
    </row>
    <row r="59" customFormat="false" ht="23.85" hidden="false" customHeight="false" outlineLevel="0" collapsed="false">
      <c r="A59" s="2" t="s">
        <v>257</v>
      </c>
      <c r="B59" s="2" t="s">
        <v>97</v>
      </c>
      <c r="C59" s="2" t="s">
        <v>98</v>
      </c>
      <c r="D59" s="2" t="s">
        <v>233</v>
      </c>
      <c r="E59" s="2" t="s">
        <v>258</v>
      </c>
      <c r="F59" s="2" t="s">
        <v>259</v>
      </c>
      <c r="G59" s="2" t="s">
        <v>260</v>
      </c>
      <c r="H59" s="2" t="n">
        <v>3</v>
      </c>
      <c r="I59" s="2" t="s">
        <v>16</v>
      </c>
    </row>
    <row r="60" customFormat="false" ht="35.05" hidden="false" customHeight="false" outlineLevel="0" collapsed="false">
      <c r="A60" s="2" t="s">
        <v>261</v>
      </c>
      <c r="B60" s="2" t="s">
        <v>140</v>
      </c>
      <c r="C60" s="2" t="s">
        <v>141</v>
      </c>
      <c r="D60" s="2" t="s">
        <v>233</v>
      </c>
      <c r="E60" s="2" t="s">
        <v>262</v>
      </c>
      <c r="F60" s="2" t="s">
        <v>263</v>
      </c>
      <c r="G60" s="2" t="s">
        <v>264</v>
      </c>
      <c r="H60" s="2" t="n">
        <v>3</v>
      </c>
      <c r="I60" s="2" t="s">
        <v>33</v>
      </c>
    </row>
    <row r="61" customFormat="false" ht="35.05" hidden="false" customHeight="false" outlineLevel="0" collapsed="false">
      <c r="A61" s="2" t="s">
        <v>265</v>
      </c>
      <c r="B61" s="2" t="s">
        <v>266</v>
      </c>
      <c r="C61" s="2" t="s">
        <v>267</v>
      </c>
      <c r="D61" s="2" t="s">
        <v>233</v>
      </c>
      <c r="E61" s="2" t="s">
        <v>268</v>
      </c>
      <c r="F61" s="2" t="s">
        <v>269</v>
      </c>
      <c r="G61" s="2" t="s">
        <v>270</v>
      </c>
      <c r="H61" s="2" t="n">
        <v>3</v>
      </c>
      <c r="I61" s="2" t="s">
        <v>33</v>
      </c>
    </row>
    <row r="62" customFormat="false" ht="23.85" hidden="false" customHeight="false" outlineLevel="0" collapsed="false">
      <c r="A62" s="2" t="s">
        <v>271</v>
      </c>
      <c r="B62" s="2" t="s">
        <v>231</v>
      </c>
      <c r="C62" s="2" t="s">
        <v>232</v>
      </c>
      <c r="D62" s="2" t="s">
        <v>233</v>
      </c>
      <c r="E62" s="2" t="s">
        <v>272</v>
      </c>
      <c r="F62" s="2" t="s">
        <v>273</v>
      </c>
      <c r="G62" s="2" t="s">
        <v>274</v>
      </c>
      <c r="H62" s="2" t="n">
        <v>2</v>
      </c>
      <c r="I62" s="2" t="s">
        <v>53</v>
      </c>
    </row>
    <row r="63" customFormat="false" ht="23.85" hidden="false" customHeight="false" outlineLevel="0" collapsed="false">
      <c r="A63" s="2" t="s">
        <v>275</v>
      </c>
      <c r="B63" s="2" t="s">
        <v>97</v>
      </c>
      <c r="C63" s="2" t="s">
        <v>98</v>
      </c>
      <c r="D63" s="2" t="s">
        <v>233</v>
      </c>
      <c r="E63" s="2" t="s">
        <v>276</v>
      </c>
      <c r="F63" s="2" t="s">
        <v>277</v>
      </c>
      <c r="G63" s="2" t="s">
        <v>278</v>
      </c>
      <c r="H63" s="2" t="n">
        <v>0</v>
      </c>
      <c r="I63" s="2" t="s">
        <v>58</v>
      </c>
    </row>
    <row r="64" customFormat="false" ht="35.05" hidden="false" customHeight="false" outlineLevel="0" collapsed="false">
      <c r="A64" s="2" t="s">
        <v>279</v>
      </c>
      <c r="B64" s="2" t="s">
        <v>266</v>
      </c>
      <c r="C64" s="2" t="s">
        <v>267</v>
      </c>
      <c r="D64" s="2" t="s">
        <v>280</v>
      </c>
      <c r="E64" s="2" t="s">
        <v>281</v>
      </c>
      <c r="F64" s="2" t="s">
        <v>282</v>
      </c>
      <c r="G64" s="2" t="s">
        <v>283</v>
      </c>
      <c r="H64" s="2" t="n">
        <v>5</v>
      </c>
      <c r="I64" s="2" t="s">
        <v>44</v>
      </c>
    </row>
    <row r="65" customFormat="false" ht="35.05" hidden="false" customHeight="false" outlineLevel="0" collapsed="false">
      <c r="A65" s="2" t="s">
        <v>284</v>
      </c>
      <c r="B65" s="2" t="s">
        <v>266</v>
      </c>
      <c r="C65" s="2" t="s">
        <v>267</v>
      </c>
      <c r="D65" s="2" t="s">
        <v>280</v>
      </c>
      <c r="E65" s="2" t="s">
        <v>285</v>
      </c>
      <c r="F65" s="2" t="s">
        <v>286</v>
      </c>
      <c r="G65" s="2" t="s">
        <v>287</v>
      </c>
      <c r="H65" s="2" t="n">
        <v>5</v>
      </c>
      <c r="I65" s="2" t="s">
        <v>33</v>
      </c>
    </row>
    <row r="66" customFormat="false" ht="23.85" hidden="false" customHeight="false" outlineLevel="0" collapsed="false">
      <c r="A66" s="2" t="s">
        <v>288</v>
      </c>
      <c r="B66" s="2" t="s">
        <v>266</v>
      </c>
      <c r="C66" s="2" t="s">
        <v>267</v>
      </c>
      <c r="D66" s="2" t="s">
        <v>280</v>
      </c>
      <c r="E66" s="2" t="s">
        <v>289</v>
      </c>
      <c r="F66" s="2" t="s">
        <v>290</v>
      </c>
      <c r="G66" s="2" t="s">
        <v>291</v>
      </c>
      <c r="H66" s="2" t="n">
        <v>5</v>
      </c>
      <c r="I66" s="2" t="s">
        <v>44</v>
      </c>
    </row>
    <row r="67" customFormat="false" ht="23.85" hidden="false" customHeight="false" outlineLevel="0" collapsed="false">
      <c r="A67" s="2" t="s">
        <v>292</v>
      </c>
      <c r="B67" s="2" t="s">
        <v>266</v>
      </c>
      <c r="C67" s="2" t="s">
        <v>267</v>
      </c>
      <c r="D67" s="2" t="s">
        <v>280</v>
      </c>
      <c r="E67" s="2" t="s">
        <v>293</v>
      </c>
      <c r="F67" s="2" t="s">
        <v>294</v>
      </c>
      <c r="G67" s="2" t="s">
        <v>295</v>
      </c>
      <c r="H67" s="2" t="n">
        <v>3</v>
      </c>
      <c r="I67" s="2" t="s">
        <v>16</v>
      </c>
    </row>
    <row r="68" customFormat="false" ht="23.85" hidden="false" customHeight="false" outlineLevel="0" collapsed="false">
      <c r="A68" s="2" t="s">
        <v>296</v>
      </c>
      <c r="B68" s="2" t="s">
        <v>266</v>
      </c>
      <c r="C68" s="2" t="s">
        <v>267</v>
      </c>
      <c r="D68" s="2" t="s">
        <v>280</v>
      </c>
      <c r="E68" s="2" t="s">
        <v>297</v>
      </c>
      <c r="F68" s="2" t="s">
        <v>298</v>
      </c>
      <c r="G68" s="2" t="s">
        <v>299</v>
      </c>
      <c r="H68" s="2" t="n">
        <v>3</v>
      </c>
      <c r="I68" s="2" t="s">
        <v>44</v>
      </c>
    </row>
    <row r="69" customFormat="false" ht="23.85" hidden="false" customHeight="false" outlineLevel="0" collapsed="false">
      <c r="A69" s="2" t="s">
        <v>300</v>
      </c>
      <c r="B69" s="2" t="s">
        <v>266</v>
      </c>
      <c r="C69" s="2" t="s">
        <v>267</v>
      </c>
      <c r="D69" s="2" t="s">
        <v>280</v>
      </c>
      <c r="E69" s="2" t="s">
        <v>301</v>
      </c>
      <c r="F69" s="2" t="s">
        <v>302</v>
      </c>
      <c r="G69" s="2" t="s">
        <v>303</v>
      </c>
      <c r="H69" s="2" t="n">
        <v>3</v>
      </c>
      <c r="I69" s="2" t="s">
        <v>16</v>
      </c>
    </row>
    <row r="70" customFormat="false" ht="23.85" hidden="false" customHeight="false" outlineLevel="0" collapsed="false">
      <c r="A70" s="2" t="s">
        <v>304</v>
      </c>
      <c r="B70" s="2" t="s">
        <v>266</v>
      </c>
      <c r="C70" s="2" t="s">
        <v>267</v>
      </c>
      <c r="D70" s="2" t="s">
        <v>280</v>
      </c>
      <c r="E70" s="2" t="s">
        <v>305</v>
      </c>
      <c r="F70" s="2" t="s">
        <v>306</v>
      </c>
      <c r="G70" s="2" t="s">
        <v>307</v>
      </c>
      <c r="H70" s="2" t="n">
        <v>2</v>
      </c>
      <c r="I70" s="2" t="s">
        <v>53</v>
      </c>
    </row>
    <row r="71" customFormat="false" ht="35.05" hidden="false" customHeight="false" outlineLevel="0" collapsed="false">
      <c r="A71" s="2" t="s">
        <v>308</v>
      </c>
      <c r="B71" s="2" t="s">
        <v>266</v>
      </c>
      <c r="C71" s="2" t="s">
        <v>267</v>
      </c>
      <c r="D71" s="2" t="s">
        <v>280</v>
      </c>
      <c r="E71" s="2" t="s">
        <v>309</v>
      </c>
      <c r="F71" s="2" t="s">
        <v>310</v>
      </c>
      <c r="G71" s="2" t="s">
        <v>311</v>
      </c>
      <c r="H71" s="2" t="n">
        <v>5</v>
      </c>
      <c r="I71" s="2" t="s">
        <v>16</v>
      </c>
    </row>
    <row r="72" customFormat="false" ht="23.85" hidden="false" customHeight="false" outlineLevel="0" collapsed="false">
      <c r="A72" s="2" t="s">
        <v>312</v>
      </c>
      <c r="B72" s="2" t="s">
        <v>266</v>
      </c>
      <c r="C72" s="2" t="s">
        <v>267</v>
      </c>
      <c r="D72" s="2" t="s">
        <v>280</v>
      </c>
      <c r="E72" s="2" t="s">
        <v>313</v>
      </c>
      <c r="F72" s="2" t="s">
        <v>314</v>
      </c>
      <c r="G72" s="2" t="s">
        <v>315</v>
      </c>
      <c r="H72" s="2" t="n">
        <v>3</v>
      </c>
      <c r="I72" s="2" t="s">
        <v>44</v>
      </c>
    </row>
    <row r="73" customFormat="false" ht="35.05" hidden="false" customHeight="false" outlineLevel="0" collapsed="false">
      <c r="A73" s="2" t="s">
        <v>316</v>
      </c>
      <c r="B73" s="2" t="s">
        <v>266</v>
      </c>
      <c r="C73" s="2" t="s">
        <v>267</v>
      </c>
      <c r="D73" s="2" t="s">
        <v>280</v>
      </c>
      <c r="E73" s="2" t="s">
        <v>317</v>
      </c>
      <c r="F73" s="2" t="s">
        <v>318</v>
      </c>
      <c r="G73" s="2" t="s">
        <v>319</v>
      </c>
      <c r="H73" s="2" t="n">
        <v>8</v>
      </c>
      <c r="I73" s="2" t="s">
        <v>44</v>
      </c>
    </row>
  </sheetData>
  <autoFilter ref="A1:I7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1" t="s">
        <v>1</v>
      </c>
      <c r="B1" s="1" t="s">
        <v>320</v>
      </c>
      <c r="C1" s="1" t="s">
        <v>321</v>
      </c>
    </row>
    <row r="2" customFormat="false" ht="23.85" hidden="false" customHeight="false" outlineLevel="0" collapsed="false">
      <c r="A2" s="2" t="s">
        <v>10</v>
      </c>
      <c r="B2" s="2" t="s">
        <v>11</v>
      </c>
      <c r="C2" s="2" t="s">
        <v>322</v>
      </c>
    </row>
    <row r="3" customFormat="false" ht="23.85" hidden="false" customHeight="false" outlineLevel="0" collapsed="false">
      <c r="A3" s="2" t="s">
        <v>60</v>
      </c>
      <c r="B3" s="2" t="s">
        <v>61</v>
      </c>
      <c r="C3" s="2" t="s">
        <v>323</v>
      </c>
    </row>
    <row r="4" customFormat="false" ht="23.85" hidden="false" customHeight="false" outlineLevel="0" collapsed="false">
      <c r="A4" s="2" t="s">
        <v>75</v>
      </c>
      <c r="B4" s="2" t="s">
        <v>76</v>
      </c>
      <c r="C4" s="2" t="s">
        <v>324</v>
      </c>
    </row>
    <row r="5" customFormat="false" ht="23.85" hidden="false" customHeight="false" outlineLevel="0" collapsed="false">
      <c r="A5" s="2" t="s">
        <v>39</v>
      </c>
      <c r="B5" s="2" t="s">
        <v>40</v>
      </c>
      <c r="C5" s="2" t="s">
        <v>325</v>
      </c>
    </row>
    <row r="6" customFormat="false" ht="23.85" hidden="false" customHeight="false" outlineLevel="0" collapsed="false">
      <c r="A6" s="2" t="s">
        <v>97</v>
      </c>
      <c r="B6" s="2" t="s">
        <v>98</v>
      </c>
      <c r="C6" s="2" t="s">
        <v>326</v>
      </c>
    </row>
    <row r="7" customFormat="false" ht="23.85" hidden="false" customHeight="false" outlineLevel="0" collapsed="false">
      <c r="A7" s="2" t="s">
        <v>164</v>
      </c>
      <c r="B7" s="2" t="s">
        <v>165</v>
      </c>
      <c r="C7" s="2" t="s">
        <v>327</v>
      </c>
    </row>
    <row r="8" customFormat="false" ht="23.85" hidden="false" customHeight="false" outlineLevel="0" collapsed="false">
      <c r="A8" s="2" t="s">
        <v>140</v>
      </c>
      <c r="B8" s="2" t="s">
        <v>141</v>
      </c>
      <c r="C8" s="2" t="s">
        <v>328</v>
      </c>
    </row>
    <row r="9" customFormat="false" ht="23.85" hidden="false" customHeight="false" outlineLevel="0" collapsed="false">
      <c r="A9" s="2" t="s">
        <v>212</v>
      </c>
      <c r="B9" s="2" t="s">
        <v>213</v>
      </c>
      <c r="C9" s="2" t="s">
        <v>329</v>
      </c>
    </row>
    <row r="10" customFormat="false" ht="23.85" hidden="false" customHeight="false" outlineLevel="0" collapsed="false">
      <c r="A10" s="2" t="s">
        <v>231</v>
      </c>
      <c r="B10" s="2" t="s">
        <v>232</v>
      </c>
      <c r="C10" s="2" t="s">
        <v>330</v>
      </c>
    </row>
    <row r="11" customFormat="false" ht="23.85" hidden="false" customHeight="false" outlineLevel="0" collapsed="false">
      <c r="A11" s="2" t="s">
        <v>266</v>
      </c>
      <c r="B11" s="2" t="s">
        <v>267</v>
      </c>
      <c r="C11" s="2" t="s">
        <v>331</v>
      </c>
    </row>
  </sheetData>
  <autoFilter ref="A1:C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9"/>
    <col collapsed="false" customWidth="true" hidden="false" outlineLevel="0" max="6" min="6" style="0" width="44"/>
  </cols>
  <sheetData>
    <row r="1" customFormat="false" ht="15" hidden="false" customHeight="false" outlineLevel="0" collapsed="false">
      <c r="A1" s="1" t="s">
        <v>332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</row>
    <row r="2" customFormat="false" ht="15" hidden="false" customHeight="false" outlineLevel="0" collapsed="false">
      <c r="A2" s="2" t="s">
        <v>16</v>
      </c>
      <c r="B2" s="2" t="s">
        <v>338</v>
      </c>
      <c r="C2" s="2" t="n">
        <v>10</v>
      </c>
      <c r="D2" s="2" t="n">
        <v>11</v>
      </c>
      <c r="E2" s="2" t="n">
        <v>6</v>
      </c>
      <c r="F2" s="2" t="s">
        <v>339</v>
      </c>
    </row>
    <row r="3" customFormat="false" ht="15" hidden="false" customHeight="false" outlineLevel="0" collapsed="false">
      <c r="A3" s="2" t="s">
        <v>33</v>
      </c>
      <c r="B3" s="2" t="s">
        <v>338</v>
      </c>
      <c r="C3" s="2" t="n">
        <v>10</v>
      </c>
      <c r="D3" s="2" t="n">
        <v>11</v>
      </c>
      <c r="E3" s="2" t="n">
        <v>6</v>
      </c>
      <c r="F3" s="2" t="s">
        <v>340</v>
      </c>
    </row>
    <row r="4" customFormat="false" ht="15" hidden="false" customHeight="false" outlineLevel="0" collapsed="false">
      <c r="A4" s="2" t="s">
        <v>44</v>
      </c>
      <c r="B4" s="2" t="s">
        <v>338</v>
      </c>
      <c r="C4" s="2" t="n">
        <v>10</v>
      </c>
      <c r="D4" s="2" t="n">
        <v>11</v>
      </c>
      <c r="E4" s="2" t="n">
        <v>6</v>
      </c>
      <c r="F4" s="2" t="s">
        <v>341</v>
      </c>
    </row>
    <row r="5" customFormat="false" ht="15" hidden="false" customHeight="false" outlineLevel="0" collapsed="false">
      <c r="A5" s="2" t="s">
        <v>53</v>
      </c>
      <c r="B5" s="2" t="s">
        <v>342</v>
      </c>
      <c r="C5" s="2" t="n">
        <v>2.5</v>
      </c>
      <c r="D5" s="2" t="n">
        <v>2</v>
      </c>
      <c r="E5" s="2" t="n">
        <v>6</v>
      </c>
      <c r="F5" s="2" t="s">
        <v>343</v>
      </c>
    </row>
    <row r="6" customFormat="false" ht="15" hidden="false" customHeight="false" outlineLevel="0" collapsed="false">
      <c r="A6" s="2" t="s">
        <v>58</v>
      </c>
      <c r="B6" s="2" t="s">
        <v>342</v>
      </c>
      <c r="C6" s="2" t="n">
        <v>2.5</v>
      </c>
      <c r="D6" s="2" t="n">
        <v>0</v>
      </c>
      <c r="E6" s="2" t="n">
        <v>6</v>
      </c>
      <c r="F6" s="2" t="s">
        <v>344</v>
      </c>
    </row>
    <row r="8" customFormat="false" ht="15" hidden="false" customHeight="false" outlineLevel="0" collapsed="false">
      <c r="A8" s="3" t="s">
        <v>345</v>
      </c>
    </row>
    <row r="9" customFormat="false" ht="15" hidden="false" customHeight="false" outlineLevel="0" collapsed="false">
      <c r="A9" s="1" t="s">
        <v>12</v>
      </c>
      <c r="B9" s="1" t="s">
        <v>62</v>
      </c>
      <c r="C9" s="1" t="s">
        <v>103</v>
      </c>
      <c r="D9" s="1" t="s">
        <v>147</v>
      </c>
      <c r="E9" s="1" t="s">
        <v>191</v>
      </c>
      <c r="F9" s="1" t="s">
        <v>233</v>
      </c>
      <c r="G9" s="1" t="s">
        <v>280</v>
      </c>
    </row>
    <row r="10" customFormat="false" ht="15" hidden="false" customHeight="false" outlineLevel="0" collapsed="false">
      <c r="A10" s="4" t="n">
        <f aca="false">SUMIFS(Roadmap!H:H,Roadmap!D:D,"Sprint 1")</f>
        <v>31</v>
      </c>
      <c r="B10" s="4" t="n">
        <f aca="false">SUMIFS(Roadmap!H:H,Roadmap!D:D,"Sprint 2")</f>
        <v>36</v>
      </c>
      <c r="C10" s="4" t="n">
        <f aca="false">SUMIFS(Roadmap!H:H,Roadmap!D:D,"Sprint 3")</f>
        <v>36</v>
      </c>
      <c r="D10" s="4" t="n">
        <f aca="false">SUMIFS(Roadmap!H:H,Roadmap!D:D,"Sprint 4")</f>
        <v>36</v>
      </c>
      <c r="E10" s="4" t="n">
        <f aca="false">SUMIFS(Roadmap!H:H,Roadmap!D:D,"Sprint 5")</f>
        <v>33</v>
      </c>
      <c r="F10" s="4" t="n">
        <f aca="false">SUMIFS(Roadmap!H:H,Roadmap!D:D,"Sprint 6")</f>
        <v>30</v>
      </c>
      <c r="G10" s="4" t="n">
        <f aca="false">SUMIFS(Roadmap!H:H,Roadmap!D:D,"Backlog")</f>
        <v>42</v>
      </c>
    </row>
  </sheetData>
  <autoFilter ref="A1:F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2026-08-04T21:32:51Z</dcterms:created>
  <dc:creator>openpyxl</dc:creator>
  <dc:description/>
  <dc:language>en-CA</dc:language>
  <cp:lastModifiedBy/>
  <dcterms:modified xsi:type="dcterms:W3CDTF">2026-08-04T21:32:51Z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